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yearuptemp-my.sharepoint.com/personal/ilee_my_yearupunited_org/Documents/Documents/DataAnalytics/week-01/"/>
    </mc:Choice>
  </mc:AlternateContent>
  <xr:revisionPtr revIDLastSave="123" documentId="8_{1F7E95A0-D8A9-4D42-B7C4-E89E0016D5CB}" xr6:coauthVersionLast="47" xr6:coauthVersionMax="47" xr10:uidLastSave="{D9DD4B3B-1F08-43C5-81D9-F4BEF0EDB4A2}"/>
  <bookViews>
    <workbookView xWindow="-96" yWindow="0" windowWidth="11712" windowHeight="13776" xr2:uid="{00000000-000D-0000-FFFF-FFFF00000000}"/>
  </bookViews>
  <sheets>
    <sheet name="Sheet2" sheetId="2" r:id="rId1"/>
    <sheet name="Sheet1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J7" i="1"/>
  <c r="L7" i="1"/>
  <c r="M7" i="1"/>
  <c r="P7" i="1"/>
  <c r="O7" i="1"/>
  <c r="N7" i="1"/>
  <c r="K7" i="1"/>
  <c r="I7" i="1"/>
  <c r="D7" i="1"/>
  <c r="D2" i="1"/>
  <c r="D3" i="1"/>
  <c r="D4" i="1"/>
  <c r="D5" i="1"/>
  <c r="D6" i="1"/>
</calcChain>
</file>

<file path=xl/sharedStrings.xml><?xml version="1.0" encoding="utf-8"?>
<sst xmlns="http://schemas.openxmlformats.org/spreadsheetml/2006/main" count="60" uniqueCount="44">
  <si>
    <t>Row Labels</t>
  </si>
  <si>
    <t>Count of Name</t>
  </si>
  <si>
    <t>Grand Total</t>
  </si>
  <si>
    <t>Sum of ID</t>
  </si>
  <si>
    <t>Chicken Wings</t>
  </si>
  <si>
    <t>Delectable Desserts</t>
  </si>
  <si>
    <t>ID</t>
  </si>
  <si>
    <t>Start time</t>
  </si>
  <si>
    <t>Completion time</t>
  </si>
  <si>
    <t>Time to complete</t>
  </si>
  <si>
    <t>Email</t>
  </si>
  <si>
    <t>Name</t>
  </si>
  <si>
    <t>Last modified time</t>
  </si>
  <si>
    <t>How would you rate the overall quality of your meal today?</t>
  </si>
  <si>
    <t>Please indicate your overall satisfaction with Red Robins item selections.</t>
  </si>
  <si>
    <t>Quick! Which is your go to Red Robin guilty pleasure?</t>
  </si>
  <si>
    <t>How likely are you to recommend us to the friends and family?</t>
  </si>
  <si>
    <t>There can only be one.</t>
  </si>
  <si>
    <t>Are you a Red Robin Rewards Member?</t>
  </si>
  <si>
    <t>How likely are you to return back to this Red Robin location?</t>
  </si>
  <si>
    <t>How satisfied are you with the manner of time in which you received your order?</t>
  </si>
  <si>
    <t>How well would you rate your service and experience with Red Robins Today?</t>
  </si>
  <si>
    <t>Do you have any feedback, comments, or suggestions you would like to provide?</t>
  </si>
  <si>
    <t>ilee@my.yearupunited.org</t>
  </si>
  <si>
    <t>idasha lee</t>
  </si>
  <si>
    <t>Better than expected</t>
  </si>
  <si>
    <t>Dirty Soda</t>
  </si>
  <si>
    <t>I'd like to sign up and receive my free appetizer alongside dipping fries in campfire sauce!</t>
  </si>
  <si>
    <t>This was an interesting project. I leave reviews for my favorite restaurants all the time so knowing how to do it is cool!</t>
  </si>
  <si>
    <t>relmorry@my.yearupunited.org</t>
  </si>
  <si>
    <t>richard elmorry</t>
  </si>
  <si>
    <t>As expected</t>
  </si>
  <si>
    <t>Gourmet Milkshake</t>
  </si>
  <si>
    <t>No</t>
  </si>
  <si>
    <t>N/A</t>
  </si>
  <si>
    <t>cspringer@my.yearupunited.org</t>
  </si>
  <si>
    <t>christopher springer</t>
  </si>
  <si>
    <t>Open stores in NYC please!!</t>
  </si>
  <si>
    <t>dmendez1@my.yearupunited.org</t>
  </si>
  <si>
    <t>denae mendez</t>
  </si>
  <si>
    <t>This looks great! I almost thought this was an actual survey from red robin's! I do have one suggestion though if you are open to receiving feedback. Maybe this question should be optional (^_^;)</t>
  </si>
  <si>
    <t>gabidemi@my.yearupunited.org</t>
  </si>
  <si>
    <t>gbolahan abidemi</t>
  </si>
  <si>
    <t>Make those wings hotter! I could eat those for breakfast, lunch and dinner!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</si>
</sst>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mm/dd/yyyy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4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8" formatCode="mm:ss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 Robins Customer Feedback Review(1-5).xlsx]Sheet2!PivotTable5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Likely to Recommend by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93-4AE8-9389-69654A122B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93-4AE8-9389-69654A122B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93-4AE8-9389-69654A122B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93-4AE8-9389-69654A122B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Sheet2!$A$2:$A$6</c:f>
              <c:strCache>
                <c:ptCount val="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B6-4B24-AABF-B6A801C45F7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 Robins Customer Feedback Review(1-5).xlsx]Sheet2!PivotTable6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Guilty Pleasure</a:t>
            </a:r>
            <a:r>
              <a:rPr lang="en-US" baseline="0"/>
              <a:t> by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Sheet2!$A$18:$A$20</c:f>
              <c:strCache>
                <c:ptCount val="2"/>
                <c:pt idx="0">
                  <c:v>Chicken Wings</c:v>
                </c:pt>
                <c:pt idx="1">
                  <c:v>Delectable Desserts</c:v>
                </c:pt>
              </c:strCache>
            </c:strRef>
          </c:cat>
          <c:val>
            <c:numRef>
              <c:f>Sheet2!$B$18:$B$20</c:f>
              <c:numCache>
                <c:formatCode>General</c:formatCode>
                <c:ptCount val="2"/>
                <c:pt idx="0">
                  <c:v>11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9-4075-BEBF-7D66DE0E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606623"/>
        <c:axId val="1727755599"/>
      </c:barChart>
      <c:catAx>
        <c:axId val="116360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755599"/>
        <c:crosses val="autoZero"/>
        <c:auto val="1"/>
        <c:lblAlgn val="ctr"/>
        <c:lblOffset val="100"/>
        <c:noMultiLvlLbl val="0"/>
      </c:catAx>
      <c:valAx>
        <c:axId val="172775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0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0</xdr:rowOff>
    </xdr:from>
    <xdr:to>
      <xdr:col>10</xdr:col>
      <xdr:colOff>289560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7A64B-9EB0-92EC-607A-442FE1646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1158246</xdr:colOff>
      <xdr:row>18</xdr:row>
      <xdr:rowOff>179070</xdr:rowOff>
    </xdr:from>
    <xdr:to>
      <xdr:col>11</xdr:col>
      <xdr:colOff>243846</xdr:colOff>
      <xdr:row>33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E656C3-8326-D6B9-9723-EC40B6B07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asha lee" refreshedDate="46312.85623229167" createdVersion="8" refreshedVersion="8" minRefreshableVersion="3" recordCount="5" xr:uid="{0D9D23CC-A952-4ED7-8312-C6A651093BF0}">
  <cacheSource type="worksheet">
    <worksheetSource name="Table1"/>
  </cacheSource>
  <cacheFields count="17">
    <cacheField name="ID" numFmtId="0">
      <sharedItems containsSemiMixedTypes="0" containsString="0" containsNumber="1" containsInteger="1" minValue="1" maxValue="5"/>
    </cacheField>
    <cacheField name="Start time" numFmtId="165">
      <sharedItems containsSemiMixedTypes="0" containsNonDate="0" containsDate="1" containsString="0" minDate="2026-10-14T23:14:04" maxDate="2026-10-16T18:37:34"/>
    </cacheField>
    <cacheField name="Completion time" numFmtId="165">
      <sharedItems containsSemiMixedTypes="0" containsNonDate="0" containsDate="1" containsString="0" minDate="2026-10-14T23:16:14" maxDate="2026-10-16T18:38:48"/>
    </cacheField>
    <cacheField name="Time to complete" numFmtId="45">
      <sharedItems containsSemiMixedTypes="0" containsNonDate="0" containsDate="1" containsString="0" minDate="1899-12-30T00:01:03" maxDate="1899-12-30T00:36:56"/>
    </cacheField>
    <cacheField name="Email" numFmtId="0">
      <sharedItems/>
    </cacheField>
    <cacheField name="Name" numFmtId="0">
      <sharedItems/>
    </cacheField>
    <cacheField name="Last modified time" numFmtId="164">
      <sharedItems containsNonDate="0" containsString="0" containsBlank="1"/>
    </cacheField>
    <cacheField name="How would you rate the overall quality of your meal today?" numFmtId="0">
      <sharedItems/>
    </cacheField>
    <cacheField name="Please indicate your overall satisfaction with Red Robins item selections." numFmtId="0">
      <sharedItems containsSemiMixedTypes="0" containsString="0" containsNumber="1" containsInteger="1" minValue="3" maxValue="5"/>
    </cacheField>
    <cacheField name="Quick! Which is your go to Red Robin guilty pleasure?" numFmtId="0">
      <sharedItems count="2">
        <s v="Chicken Wings"/>
        <s v="Delectable Desserts"/>
      </sharedItems>
    </cacheField>
    <cacheField name="How likely are you to recommend us to the friends and family?" numFmtId="0">
      <sharedItems containsSemiMixedTypes="0" containsString="0" containsNumber="1" containsInteger="1" minValue="7" maxValue="10" count="4">
        <n v="9"/>
        <n v="10"/>
        <n v="7"/>
        <n v="8"/>
      </sharedItems>
    </cacheField>
    <cacheField name="There can only be one." numFmtId="0">
      <sharedItems count="2">
        <s v="Dirty Soda"/>
        <s v="Gourmet Milkshake"/>
      </sharedItems>
    </cacheField>
    <cacheField name="Are you a Red Robin Rewards Member?" numFmtId="0">
      <sharedItems/>
    </cacheField>
    <cacheField name="How likely are you to return back to this Red Robin location?" numFmtId="0">
      <sharedItems containsSemiMixedTypes="0" containsString="0" containsNumber="1" containsInteger="1" minValue="6" maxValue="10"/>
    </cacheField>
    <cacheField name="How satisfied are you with the manner of time in which you received your order?" numFmtId="0">
      <sharedItems containsSemiMixedTypes="0" containsString="0" containsNumber="1" containsInteger="1" minValue="3" maxValue="5" count="3">
        <n v="4"/>
        <n v="5"/>
        <n v="3"/>
      </sharedItems>
    </cacheField>
    <cacheField name="How well would you rate your service and experience with Red Robins Today?" numFmtId="0">
      <sharedItems containsSemiMixedTypes="0" containsString="0" containsNumber="1" containsInteger="1" minValue="4" maxValue="5"/>
    </cacheField>
    <cacheField name="Do you have any feedback, comments, or suggestions you would like to provide?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d v="2026-10-14T23:14:04"/>
    <d v="2026-10-14T23:16:14"/>
    <d v="1899-12-30T00:02:10"/>
    <s v="ilee@my.yearupunited.org"/>
    <s v="idasha lee"/>
    <m/>
    <s v="Better than expected"/>
    <n v="4"/>
    <x v="0"/>
    <x v="0"/>
    <x v="0"/>
    <s v="I'd like to sign up and receive my free appetizer alongside dipping fries in campfire sauce!"/>
    <n v="10"/>
    <x v="0"/>
    <n v="5"/>
    <s v="This was an interesting project. I leave reviews for my favorite restaurants all the time so knowing how to do it is cool!"/>
  </r>
  <r>
    <n v="2"/>
    <d v="2026-10-15T08:31:26"/>
    <d v="2026-10-15T09:08:22"/>
    <d v="1899-12-30T00:36:56"/>
    <s v="relmorry@my.yearupunited.org"/>
    <s v="richard elmorry"/>
    <m/>
    <s v="As expected"/>
    <n v="5"/>
    <x v="0"/>
    <x v="1"/>
    <x v="1"/>
    <s v="No"/>
    <n v="10"/>
    <x v="1"/>
    <n v="5"/>
    <s v="N/A"/>
  </r>
  <r>
    <n v="3"/>
    <d v="2026-10-16T13:32:07"/>
    <d v="2026-10-16T13:33:10"/>
    <d v="1899-12-30T00:01:03"/>
    <s v="cspringer@my.yearupunited.org"/>
    <s v="christopher springer"/>
    <m/>
    <s v="As expected"/>
    <n v="5"/>
    <x v="0"/>
    <x v="1"/>
    <x v="0"/>
    <s v="I'd like to sign up and receive my free appetizer alongside dipping fries in campfire sauce!"/>
    <n v="10"/>
    <x v="1"/>
    <n v="5"/>
    <s v="Open stores in NYC please!!"/>
  </r>
  <r>
    <n v="4"/>
    <d v="2026-10-16T16:40:23"/>
    <d v="2026-10-16T16:43:20"/>
    <d v="1899-12-30T00:02:57"/>
    <s v="dmendez1@my.yearupunited.org"/>
    <s v="denae mendez"/>
    <m/>
    <s v="As expected"/>
    <n v="3"/>
    <x v="1"/>
    <x v="2"/>
    <x v="1"/>
    <s v="No"/>
    <n v="6"/>
    <x v="2"/>
    <n v="4"/>
    <s v="This looks great! I almost thought this was an actual survey from red robin's! I do have one suggestion though if you are open to receiving feedback. Maybe this question should be optional (^_^;)"/>
  </r>
  <r>
    <n v="5"/>
    <d v="2026-10-16T18:37:34"/>
    <d v="2026-10-16T18:38:48"/>
    <d v="1899-12-30T00:01:14"/>
    <s v="gabidemi@my.yearupunited.org"/>
    <s v="gbolahan abidemi"/>
    <m/>
    <s v="Better than expected"/>
    <n v="5"/>
    <x v="0"/>
    <x v="3"/>
    <x v="1"/>
    <s v="I'd like to sign up and receive my free appetizer alongside dipping fries in campfire sauce!"/>
    <n v="10"/>
    <x v="1"/>
    <n v="4"/>
    <s v="Make those wings hotter! I could eat those for breakfast, lunch and dinner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F246D-45C2-4298-B4E5-DC2EAF4EE05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7:B20" firstHeaderRow="1" firstDataRow="1" firstDataCol="1"/>
  <pivotFields count="17">
    <pivotField dataField="1" showAll="0"/>
    <pivotField numFmtId="165" showAll="0"/>
    <pivotField numFmtId="165" showAll="0"/>
    <pivotField numFmtId="45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47474-96E4-4D34-B35E-A45EE0F33C4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17">
    <pivotField showAll="0"/>
    <pivotField numFmtId="165" showAll="0"/>
    <pivotField numFmtId="165" showAll="0"/>
    <pivotField numFmtId="45"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" fld="5" subtotal="count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7" totalsRowCount="1">
  <autoFilter ref="A1:Q6" xr:uid="{00000000-0009-0000-0100-000001000000}"/>
  <tableColumns count="17">
    <tableColumn id="1" xr3:uid="{00000000-0010-0000-0000-000001000000}" name="ID" dataDxfId="32" totalsRowDxfId="33"/>
    <tableColumn id="2" xr3:uid="{00000000-0010-0000-0000-000002000000}" name="Start time" dataDxfId="30" totalsRowDxfId="31"/>
    <tableColumn id="3" xr3:uid="{00000000-0010-0000-0000-000003000000}" name="Completion time" dataDxfId="28" totalsRowDxfId="29"/>
    <tableColumn id="17" xr3:uid="{BAE919A1-D624-44B3-BA77-32A8BA353F8E}" name="Time to complete" totalsRowFunction="custom" dataDxfId="26" totalsRowDxfId="27">
      <calculatedColumnFormula>C2-B2</calculatedColumnFormula>
      <totalsRowFormula>AVERAGE(D2:D6)</totalsRowFormula>
    </tableColumn>
    <tableColumn id="4" xr3:uid="{00000000-0010-0000-0000-000004000000}" name="Email" dataDxfId="24" totalsRowDxfId="25"/>
    <tableColumn id="5" xr3:uid="{00000000-0010-0000-0000-000005000000}" name="Name" dataDxfId="22" totalsRowDxfId="23"/>
    <tableColumn id="6" xr3:uid="{00000000-0010-0000-0000-000006000000}" name="Last modified time" dataDxfId="20" totalsRowDxfId="21"/>
    <tableColumn id="7" xr3:uid="{00000000-0010-0000-0000-000007000000}" name="How would you rate the overall quality of your meal today?" totalsRowFunction="custom" dataDxfId="18" totalsRowDxfId="19">
      <totalsRowFormula>SUM(COUNTIF(Table1[How would you rate the overall quality of your meal today?],"As expected"),COUNTIF(Table1[How would you rate the overall quality of your meal today?],"Better than expected"))</totalsRowFormula>
    </tableColumn>
    <tableColumn id="8" xr3:uid="{00000000-0010-0000-0000-000008000000}" name="Please indicate your overall satisfaction with Red Robins item selections." totalsRowFunction="custom" dataDxfId="16" totalsRowDxfId="17">
      <totalsRowFormula>AVERAGE(I2:I6)</totalsRowFormula>
    </tableColumn>
    <tableColumn id="9" xr3:uid="{00000000-0010-0000-0000-000009000000}" name="Quick! Which is your go to Red Robin guilty pleasure?" totalsRowFunction="custom" dataDxfId="14" totalsRowDxfId="15">
      <totalsRowFormula>SUM(COUNTIF(Table1[Quick! Which is your go to Red Robin guilty pleasure?],"Chicken Wings"),COUNTIF(Table1[Quick! Which is your go to Red Robin guilty pleasure?],"Delectable Desserts"))</totalsRowFormula>
    </tableColumn>
    <tableColumn id="10" xr3:uid="{00000000-0010-0000-0000-00000A000000}" name="How likely are you to recommend us to the friends and family?" totalsRowFunction="custom" dataDxfId="12" totalsRowDxfId="13">
      <totalsRowFormula>AVERAGE(K2:K6)</totalsRowFormula>
    </tableColumn>
    <tableColumn id="11" xr3:uid="{00000000-0010-0000-0000-00000B000000}" name="There can only be one." totalsRowFunction="custom" dataDxfId="10" totalsRowDxfId="11">
      <totalsRowFormula>SUM(COUNTIF(Table1[There can only be one.],"Dirt Soda"),COUNTIF(Table1[There can only be one.],"Gourmet Milkshake"))</totalsRowFormula>
    </tableColumn>
    <tableColumn id="12" xr3:uid="{00000000-0010-0000-0000-00000C000000}" name="Are you a Red Robin Rewards Member?" totalsRowFunction="custom" dataDxfId="8" totalsRowDxfId="9">
      <totalsRowFormula>SUM(COUNTIF(Table1[Are you a Red Robin Rewards Member?],"I'd like to sign up and receive my free appetizer alongside dipping fries in campfire sauce!"))</totalsRowFormula>
    </tableColumn>
    <tableColumn id="13" xr3:uid="{00000000-0010-0000-0000-00000D000000}" name="How likely are you to return back to this Red Robin location?" totalsRowFunction="custom" dataDxfId="6" totalsRowDxfId="7">
      <totalsRowFormula>AVERAGE(N2:N6)</totalsRowFormula>
    </tableColumn>
    <tableColumn id="14" xr3:uid="{00000000-0010-0000-0000-00000E000000}" name="How satisfied are you with the manner of time in which you received your order?" totalsRowFunction="custom" dataDxfId="4" totalsRowDxfId="5">
      <totalsRowFormula>AVERAGE(O2:O6)</totalsRowFormula>
    </tableColumn>
    <tableColumn id="15" xr3:uid="{00000000-0010-0000-0000-00000F000000}" name="How well would you rate your service and experience with Red Robins Today?" totalsRowFunction="custom" dataDxfId="2" totalsRowDxfId="3">
      <totalsRowFormula>AVERAGE(P2:P6)</totalsRowFormula>
    </tableColumn>
    <tableColumn id="16" xr3:uid="{00000000-0010-0000-0000-000010000000}" name="Do you have any feedback, comments, or suggestions you would like to provide?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CFF7E-92DD-49D2-8BD6-E52DD113501B}">
  <dimension ref="A1:B20"/>
  <sheetViews>
    <sheetView tabSelected="1" topLeftCell="C25" workbookViewId="0">
      <selection activeCell="A17" sqref="A17:B20"/>
    </sheetView>
  </sheetViews>
  <sheetFormatPr defaultRowHeight="14.45"/>
  <cols>
    <col min="1" max="1" width="12.5703125" bestFit="1" customWidth="1"/>
    <col min="2" max="2" width="13.85546875" bestFit="1" customWidth="1"/>
    <col min="3" max="3" width="17.28515625" bestFit="1" customWidth="1"/>
    <col min="4" max="4" width="9.28515625" bestFit="1" customWidth="1"/>
  </cols>
  <sheetData>
    <row r="1" spans="1:2">
      <c r="A1" s="4" t="s">
        <v>0</v>
      </c>
      <c r="B1" t="s">
        <v>1</v>
      </c>
    </row>
    <row r="2" spans="1:2">
      <c r="A2" s="5">
        <v>7</v>
      </c>
      <c r="B2">
        <v>1</v>
      </c>
    </row>
    <row r="3" spans="1:2">
      <c r="A3" s="5">
        <v>8</v>
      </c>
      <c r="B3">
        <v>1</v>
      </c>
    </row>
    <row r="4" spans="1:2">
      <c r="A4" s="5">
        <v>9</v>
      </c>
      <c r="B4">
        <v>1</v>
      </c>
    </row>
    <row r="5" spans="1:2">
      <c r="A5" s="5">
        <v>10</v>
      </c>
      <c r="B5">
        <v>2</v>
      </c>
    </row>
    <row r="6" spans="1:2">
      <c r="A6" s="5" t="s">
        <v>2</v>
      </c>
      <c r="B6">
        <v>5</v>
      </c>
    </row>
    <row r="17" spans="1:2">
      <c r="A17" s="4" t="s">
        <v>0</v>
      </c>
      <c r="B17" t="s">
        <v>3</v>
      </c>
    </row>
    <row r="18" spans="1:2">
      <c r="A18" s="5" t="s">
        <v>4</v>
      </c>
      <c r="B18">
        <v>11</v>
      </c>
    </row>
    <row r="19" spans="1:2">
      <c r="A19" s="5" t="s">
        <v>5</v>
      </c>
      <c r="B19">
        <v>4</v>
      </c>
    </row>
    <row r="20" spans="1:2">
      <c r="A20" s="5" t="s">
        <v>2</v>
      </c>
      <c r="B20">
        <v>15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selection activeCell="H5" sqref="H5"/>
    </sheetView>
  </sheetViews>
  <sheetFormatPr defaultRowHeight="14.45"/>
  <cols>
    <col min="1" max="1" width="20" bestFit="1" customWidth="1"/>
    <col min="2" max="2" width="20" style="2" bestFit="1" customWidth="1"/>
    <col min="3" max="3" width="20" bestFit="1" customWidth="1"/>
    <col min="4" max="4" width="20" style="3" customWidth="1"/>
    <col min="5" max="17" width="20" bestFit="1" customWidth="1"/>
  </cols>
  <sheetData>
    <row r="1" spans="1:17">
      <c r="A1" t="s">
        <v>6</v>
      </c>
      <c r="B1" s="2" t="s">
        <v>7</v>
      </c>
      <c r="C1" t="s">
        <v>8</v>
      </c>
      <c r="D1" s="3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 spans="1:17">
      <c r="A2">
        <v>1</v>
      </c>
      <c r="B2" s="2">
        <v>46309.968101851853</v>
      </c>
      <c r="C2" s="2">
        <v>46309.969606481478</v>
      </c>
      <c r="D2" s="3">
        <f t="shared" ref="D2:D6" si="0">C2-B2</f>
        <v>1.5046296248328872E-3</v>
      </c>
      <c r="E2" t="s">
        <v>23</v>
      </c>
      <c r="F2" t="s">
        <v>24</v>
      </c>
      <c r="G2" s="1"/>
      <c r="H2" t="s">
        <v>25</v>
      </c>
      <c r="I2">
        <v>4</v>
      </c>
      <c r="J2" t="s">
        <v>4</v>
      </c>
      <c r="K2">
        <v>9</v>
      </c>
      <c r="L2" t="s">
        <v>26</v>
      </c>
      <c r="M2" t="s">
        <v>27</v>
      </c>
      <c r="N2">
        <v>10</v>
      </c>
      <c r="O2">
        <v>4</v>
      </c>
      <c r="P2">
        <v>5</v>
      </c>
      <c r="Q2" t="s">
        <v>28</v>
      </c>
    </row>
    <row r="3" spans="1:17">
      <c r="A3">
        <v>2</v>
      </c>
      <c r="B3" s="2">
        <v>46310.355162037034</v>
      </c>
      <c r="C3" s="2">
        <v>46310.380810185183</v>
      </c>
      <c r="D3" s="3">
        <f t="shared" si="0"/>
        <v>2.5648148148320615E-2</v>
      </c>
      <c r="E3" t="s">
        <v>29</v>
      </c>
      <c r="F3" t="s">
        <v>30</v>
      </c>
      <c r="G3" s="1"/>
      <c r="H3" t="s">
        <v>31</v>
      </c>
      <c r="I3">
        <v>5</v>
      </c>
      <c r="J3" t="s">
        <v>4</v>
      </c>
      <c r="K3">
        <v>10</v>
      </c>
      <c r="L3" t="s">
        <v>32</v>
      </c>
      <c r="M3" t="s">
        <v>33</v>
      </c>
      <c r="N3">
        <v>10</v>
      </c>
      <c r="O3">
        <v>5</v>
      </c>
      <c r="P3">
        <v>5</v>
      </c>
      <c r="Q3" t="s">
        <v>34</v>
      </c>
    </row>
    <row r="4" spans="1:17">
      <c r="A4">
        <v>3</v>
      </c>
      <c r="B4" s="2">
        <v>46311.563969907409</v>
      </c>
      <c r="C4" s="2">
        <v>46311.564699074072</v>
      </c>
      <c r="D4" s="3">
        <f t="shared" si="0"/>
        <v>7.2916666249511763E-4</v>
      </c>
      <c r="E4" t="s">
        <v>35</v>
      </c>
      <c r="F4" t="s">
        <v>36</v>
      </c>
      <c r="G4" s="1"/>
      <c r="H4" t="s">
        <v>31</v>
      </c>
      <c r="I4">
        <v>5</v>
      </c>
      <c r="J4" t="s">
        <v>4</v>
      </c>
      <c r="K4">
        <v>10</v>
      </c>
      <c r="L4" t="s">
        <v>26</v>
      </c>
      <c r="M4" t="s">
        <v>27</v>
      </c>
      <c r="N4">
        <v>10</v>
      </c>
      <c r="O4">
        <v>5</v>
      </c>
      <c r="P4">
        <v>5</v>
      </c>
      <c r="Q4" t="s">
        <v>37</v>
      </c>
    </row>
    <row r="5" spans="1:17">
      <c r="A5">
        <v>4</v>
      </c>
      <c r="B5" s="2">
        <v>46311.694710648146</v>
      </c>
      <c r="C5" s="2">
        <v>46311.696759259263</v>
      </c>
      <c r="D5" s="3">
        <f t="shared" si="0"/>
        <v>2.0486111170612276E-3</v>
      </c>
      <c r="E5" t="s">
        <v>38</v>
      </c>
      <c r="F5" t="s">
        <v>39</v>
      </c>
      <c r="G5" s="1"/>
      <c r="H5" t="s">
        <v>31</v>
      </c>
      <c r="I5">
        <v>3</v>
      </c>
      <c r="J5" t="s">
        <v>5</v>
      </c>
      <c r="K5">
        <v>7</v>
      </c>
      <c r="L5" t="s">
        <v>32</v>
      </c>
      <c r="M5" t="s">
        <v>33</v>
      </c>
      <c r="N5">
        <v>6</v>
      </c>
      <c r="O5">
        <v>3</v>
      </c>
      <c r="P5">
        <v>4</v>
      </c>
      <c r="Q5" t="s">
        <v>40</v>
      </c>
    </row>
    <row r="6" spans="1:17">
      <c r="A6">
        <v>5</v>
      </c>
      <c r="B6" s="2">
        <v>46311.776087962964</v>
      </c>
      <c r="C6" s="2">
        <v>46311.776944444442</v>
      </c>
      <c r="D6" s="3">
        <f t="shared" si="0"/>
        <v>8.5648147796746343E-4</v>
      </c>
      <c r="E6" t="s">
        <v>41</v>
      </c>
      <c r="F6" t="s">
        <v>42</v>
      </c>
      <c r="G6" s="1"/>
      <c r="H6" t="s">
        <v>25</v>
      </c>
      <c r="I6">
        <v>5</v>
      </c>
      <c r="J6" t="s">
        <v>4</v>
      </c>
      <c r="K6">
        <v>8</v>
      </c>
      <c r="L6" t="s">
        <v>32</v>
      </c>
      <c r="M6" t="s">
        <v>27</v>
      </c>
      <c r="N6">
        <v>10</v>
      </c>
      <c r="O6">
        <v>5</v>
      </c>
      <c r="P6">
        <v>4</v>
      </c>
      <c r="Q6" t="s">
        <v>43</v>
      </c>
    </row>
    <row r="7" spans="1:17">
      <c r="C7" s="2"/>
      <c r="D7" s="3">
        <f>AVERAGE(D2:D6)</f>
        <v>6.1574074061354622E-3</v>
      </c>
      <c r="G7" s="1"/>
      <c r="H7">
        <f>SUM(COUNTIF(Table1[How would you rate the overall quality of your meal today?],"As expected"),COUNTIF(Table1[How would you rate the overall quality of your meal today?],"Better than expected"))</f>
        <v>5</v>
      </c>
      <c r="I7">
        <f>AVERAGE(I2:I6)</f>
        <v>4.4000000000000004</v>
      </c>
      <c r="J7">
        <f>SUM(COUNTIF(Table1[Quick! Which is your go to Red Robin guilty pleasure?],"Chicken Wings"),COUNTIF(Table1[Quick! Which is your go to Red Robin guilty pleasure?],"Delectable Desserts"))</f>
        <v>5</v>
      </c>
      <c r="K7">
        <f>AVERAGE(K2:K6)</f>
        <v>8.8000000000000007</v>
      </c>
      <c r="L7">
        <f>SUM(COUNTIF(Table1[There can only be one.],"Dirt Soda"),COUNTIF(Table1[There can only be one.],"Gourmet Milkshake"))</f>
        <v>3</v>
      </c>
      <c r="M7">
        <f>SUM(COUNTIF(Table1[Are you a Red Robin Rewards Member?],"I'd like to sign up and receive my free appetizer alongside dipping fries in campfire sauce!"))</f>
        <v>3</v>
      </c>
      <c r="N7">
        <f>AVERAGE(N2:N6)</f>
        <v>9.1999999999999993</v>
      </c>
      <c r="O7">
        <f>AVERAGE(O2:O6)</f>
        <v>4.4000000000000004</v>
      </c>
      <c r="P7">
        <f>AVERAGE(P2:P6)</f>
        <v>4.5999999999999996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idasha lee</cp:lastModifiedBy>
  <cp:revision/>
  <dcterms:created xsi:type="dcterms:W3CDTF">2026-10-17T23:08:36Z</dcterms:created>
  <dcterms:modified xsi:type="dcterms:W3CDTF">2026-10-18T01:05:53Z</dcterms:modified>
  <cp:category/>
  <cp:contentStatus/>
</cp:coreProperties>
</file>