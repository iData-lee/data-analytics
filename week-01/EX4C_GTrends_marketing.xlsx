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ilee_my_yearupunited_org/Documents/Documents/DataAnalytics/week-01/"/>
    </mc:Choice>
  </mc:AlternateContent>
  <xr:revisionPtr revIDLastSave="47" documentId="8_{921441A6-B76A-4760-8819-9FFD763B6179}" xr6:coauthVersionLast="47" xr6:coauthVersionMax="47" xr10:uidLastSave="{CC77811B-BE8A-453D-B0BA-869BBD7058BB}"/>
  <bookViews>
    <workbookView xWindow="-108" yWindow="-108" windowWidth="23256" windowHeight="13896" firstSheet="1" activeTab="2" xr2:uid="{94B0E67D-FC9A-4B82-B1C9-3E7067B34A87}"/>
  </bookViews>
  <sheets>
    <sheet name="by search term" sheetId="1" r:id="rId1"/>
    <sheet name="by state" sheetId="3" r:id="rId2"/>
    <sheet name="sales region lookup" sheetId="4" r:id="rId3"/>
  </sheets>
  <definedNames>
    <definedName name="_xlnm._FilterDatabase" localSheetId="0" hidden="1">'by search term'!$A$1:$E$52</definedName>
  </definedNames>
  <calcPr calcId="191028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H1" i="1"/>
</calcChain>
</file>

<file path=xl/sharedStrings.xml><?xml version="1.0" encoding="utf-8"?>
<sst xmlns="http://schemas.openxmlformats.org/spreadsheetml/2006/main" count="154" uniqueCount="68">
  <si>
    <t>Region ID</t>
  </si>
  <si>
    <t>Region</t>
  </si>
  <si>
    <t>Hamburger</t>
  </si>
  <si>
    <t>Milkshake</t>
  </si>
  <si>
    <t>Breakup</t>
  </si>
  <si>
    <t># of Regions</t>
  </si>
  <si>
    <t>Date 
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</si>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</sst>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0" fontId="0" fillId="33" borderId="0" xfId="0" applyFill="1" applyAlignment="1">
      <alignment wrapText="1"/>
    </xf>
    <xf numFmtId="0" fontId="0" fillId="33" borderId="0" xfId="0" applyFill="1"/>
    <xf numFmtId="0" fontId="0" fillId="34" borderId="0" xfId="0" applyFill="1" applyAlignment="1">
      <alignment wrapText="1"/>
    </xf>
    <xf numFmtId="0" fontId="0" fillId="0" borderId="0" xfId="0" applyAlignment="1">
      <alignment wrapText="1"/>
    </xf>
    <xf numFmtId="0" fontId="18" fillId="34" borderId="0" xfId="0" applyFont="1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lookup'!$P$6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lookup'!$O$7:$O$17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lookup'!$P$7:$P$17</c:f>
              <c:numCache>
                <c:formatCode>0%</c:formatCode>
                <c:ptCount val="10"/>
                <c:pt idx="0">
                  <c:v>0.68</c:v>
                </c:pt>
                <c:pt idx="1">
                  <c:v>0.66</c:v>
                </c:pt>
                <c:pt idx="2">
                  <c:v>0.68</c:v>
                </c:pt>
                <c:pt idx="3">
                  <c:v>0.74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0.76</c:v>
                </c:pt>
                <c:pt idx="8">
                  <c:v>0.7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1-4EC4-A749-7FF11062545D}"/>
            </c:ext>
          </c:extLst>
        </c:ser>
        <c:ser>
          <c:idx val="1"/>
          <c:order val="1"/>
          <c:tx>
            <c:strRef>
              <c:f>'sales region lookup'!$Q$6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lookup'!$O$7:$O$17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lookup'!$Q$7:$Q$17</c:f>
              <c:numCache>
                <c:formatCode>0%</c:formatCode>
                <c:ptCount val="10"/>
                <c:pt idx="0">
                  <c:v>0.19</c:v>
                </c:pt>
                <c:pt idx="1">
                  <c:v>0.21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0.17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31-4EC4-A749-7FF110625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478687"/>
        <c:axId val="1340962447"/>
      </c:barChart>
      <c:catAx>
        <c:axId val="109147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62447"/>
        <c:crosses val="autoZero"/>
        <c:auto val="1"/>
        <c:lblAlgn val="ctr"/>
        <c:lblOffset val="100"/>
        <c:noMultiLvlLbl val="0"/>
      </c:catAx>
      <c:valAx>
        <c:axId val="134096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7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10</xdr:row>
      <xdr:rowOff>179070</xdr:rowOff>
    </xdr:from>
    <xdr:to>
      <xdr:col>12</xdr:col>
      <xdr:colOff>266700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2AD18-E521-4568-2AE8-7A4D64889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asha lee" refreshedDate="46310.93347708333" createdVersion="8" refreshedVersion="8" minRefreshableVersion="3" recordCount="10" xr:uid="{AFCA23B4-A116-486D-8118-7F513AF838A1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7"/>
    <n v="0.17"/>
  </r>
  <r>
    <x v="1"/>
    <x v="0"/>
    <n v="0.69"/>
    <n v="0.18"/>
  </r>
  <r>
    <x v="2"/>
    <x v="0"/>
    <n v="0.68"/>
    <n v="0.19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69"/>
    <n v="0.18"/>
  </r>
  <r>
    <x v="7"/>
    <x v="1"/>
    <n v="0.68"/>
    <n v="0.18"/>
  </r>
  <r>
    <x v="8"/>
    <x v="1"/>
    <n v="0.67"/>
    <n v="0.19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1585C-15D0-41E8-8F0B-58947D8CC00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6:Q17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2633-2D3B-4438-96AB-D3B23E34B044}">
  <dimension ref="A1:K52"/>
  <sheetViews>
    <sheetView workbookViewId="0">
      <selection activeCell="H21" sqref="H21"/>
    </sheetView>
  </sheetViews>
  <sheetFormatPr defaultRowHeight="14.4" x14ac:dyDescent="0.3"/>
  <cols>
    <col min="2" max="2" width="15.33203125" customWidth="1"/>
    <col min="3" max="3" width="12.33203125" bestFit="1" customWidth="1"/>
    <col min="4" max="4" width="11.33203125" bestFit="1" customWidth="1"/>
    <col min="5" max="5" width="9.88671875" bestFit="1" customWidth="1"/>
    <col min="7" max="7" width="13.6640625" customWidth="1"/>
    <col min="10" max="10" width="8.6640625" customWidth="1"/>
    <col min="11" max="11" width="10.88671875" bestFit="1" customWidth="1"/>
  </cols>
  <sheetData>
    <row r="1" spans="1:11" ht="28.8" x14ac:dyDescent="0.3">
      <c r="A1" t="s">
        <v>0</v>
      </c>
      <c r="B1" t="s">
        <v>1</v>
      </c>
      <c r="C1" s="5" t="s">
        <v>2</v>
      </c>
      <c r="D1" s="5" t="s">
        <v>3</v>
      </c>
      <c r="E1" s="5" t="s">
        <v>4</v>
      </c>
      <c r="G1" s="2" t="s">
        <v>5</v>
      </c>
      <c r="H1" s="3">
        <f>COUNTA(B2:B52)</f>
        <v>51</v>
      </c>
      <c r="J1" s="4" t="s">
        <v>6</v>
      </c>
      <c r="K1" s="6" t="s">
        <v>7</v>
      </c>
    </row>
    <row r="2" spans="1:11" x14ac:dyDescent="0.3">
      <c r="A2">
        <v>1</v>
      </c>
      <c r="B2" t="s">
        <v>8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9</v>
      </c>
      <c r="C3" s="1">
        <v>0.69</v>
      </c>
      <c r="D3" s="1">
        <v>0.16</v>
      </c>
      <c r="E3" s="1">
        <v>0.15</v>
      </c>
    </row>
    <row r="4" spans="1:11" x14ac:dyDescent="0.3">
      <c r="A4">
        <v>3</v>
      </c>
      <c r="B4" t="s">
        <v>10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11</v>
      </c>
      <c r="C5" s="1">
        <v>0.65</v>
      </c>
      <c r="D5" s="1">
        <v>0.22</v>
      </c>
      <c r="E5" s="1">
        <v>0.13</v>
      </c>
    </row>
    <row r="6" spans="1:11" x14ac:dyDescent="0.3">
      <c r="A6">
        <v>5</v>
      </c>
      <c r="B6" t="s">
        <v>12</v>
      </c>
      <c r="C6" s="1">
        <v>0.66</v>
      </c>
      <c r="D6" s="1">
        <v>0.19</v>
      </c>
      <c r="E6" s="1">
        <v>0.15</v>
      </c>
    </row>
    <row r="7" spans="1:11" x14ac:dyDescent="0.3">
      <c r="A7">
        <v>6</v>
      </c>
      <c r="B7" t="s">
        <v>13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14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15</v>
      </c>
      <c r="C9" s="1">
        <v>0.64</v>
      </c>
      <c r="D9" s="1">
        <v>0.22</v>
      </c>
      <c r="E9" s="1">
        <v>0.14000000000000001</v>
      </c>
    </row>
    <row r="10" spans="1:11" x14ac:dyDescent="0.3">
      <c r="A10">
        <v>9</v>
      </c>
      <c r="B10" t="s">
        <v>16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17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18</v>
      </c>
      <c r="C12" s="1">
        <v>0.64</v>
      </c>
      <c r="D12" s="1">
        <v>0.23</v>
      </c>
      <c r="E12" s="1">
        <v>0.13</v>
      </c>
    </row>
    <row r="13" spans="1:11" x14ac:dyDescent="0.3">
      <c r="A13">
        <v>12</v>
      </c>
      <c r="B13" t="s">
        <v>19</v>
      </c>
      <c r="C13" s="1">
        <v>0.71</v>
      </c>
      <c r="D13" s="1">
        <v>0.14000000000000001</v>
      </c>
      <c r="E13" s="1">
        <v>0.15</v>
      </c>
    </row>
    <row r="14" spans="1:11" x14ac:dyDescent="0.3">
      <c r="A14">
        <v>13</v>
      </c>
      <c r="B14" t="s">
        <v>20</v>
      </c>
      <c r="C14" s="1">
        <v>0.68</v>
      </c>
      <c r="D14" s="1">
        <v>0.19</v>
      </c>
      <c r="E14" s="1">
        <v>0.13</v>
      </c>
    </row>
    <row r="15" spans="1:11" x14ac:dyDescent="0.3">
      <c r="A15">
        <v>14</v>
      </c>
      <c r="B15" t="s">
        <v>21</v>
      </c>
      <c r="C15" s="1">
        <v>0.63</v>
      </c>
      <c r="D15" s="1">
        <v>0.22</v>
      </c>
      <c r="E15" s="1">
        <v>0.15</v>
      </c>
    </row>
    <row r="16" spans="1:11" x14ac:dyDescent="0.3">
      <c r="A16">
        <v>15</v>
      </c>
      <c r="B16" t="s">
        <v>22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23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24</v>
      </c>
      <c r="C18" s="1">
        <v>0.68</v>
      </c>
      <c r="D18" s="1">
        <v>0.19</v>
      </c>
      <c r="E18" s="1">
        <v>0.13</v>
      </c>
    </row>
    <row r="19" spans="1:5" x14ac:dyDescent="0.3">
      <c r="A19">
        <v>18</v>
      </c>
      <c r="B19" t="s">
        <v>25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26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27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30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31</v>
      </c>
      <c r="C25" s="1">
        <v>0.68</v>
      </c>
      <c r="D25" s="1">
        <v>0.18</v>
      </c>
      <c r="E25" s="1">
        <v>0.14000000000000001</v>
      </c>
    </row>
    <row r="26" spans="1:5" x14ac:dyDescent="0.3">
      <c r="A26">
        <v>25</v>
      </c>
      <c r="B26" t="s">
        <v>32</v>
      </c>
      <c r="C26" s="1">
        <v>0.66</v>
      </c>
      <c r="D26" s="1">
        <v>0.21</v>
      </c>
      <c r="E26" s="1">
        <v>0.13</v>
      </c>
    </row>
    <row r="27" spans="1:5" x14ac:dyDescent="0.3">
      <c r="A27">
        <v>26</v>
      </c>
      <c r="B27" t="s">
        <v>33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34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36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37</v>
      </c>
      <c r="C31" s="1">
        <v>0.67</v>
      </c>
      <c r="D31" s="1">
        <v>0.19</v>
      </c>
      <c r="E31" s="1">
        <v>0.14000000000000001</v>
      </c>
    </row>
    <row r="32" spans="1:5" x14ac:dyDescent="0.3">
      <c r="A32">
        <v>31</v>
      </c>
      <c r="B32" t="s">
        <v>38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40</v>
      </c>
      <c r="C34" s="1">
        <v>0.65</v>
      </c>
      <c r="D34" s="1">
        <v>0.2</v>
      </c>
      <c r="E34" s="1">
        <v>0.15</v>
      </c>
    </row>
    <row r="35" spans="1:5" x14ac:dyDescent="0.3">
      <c r="A35">
        <v>34</v>
      </c>
      <c r="B35" t="s">
        <v>41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43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44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45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46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47</v>
      </c>
      <c r="C41" s="1">
        <v>0.62</v>
      </c>
      <c r="D41" s="1">
        <v>0.25</v>
      </c>
      <c r="E41" s="1">
        <v>0.13</v>
      </c>
    </row>
    <row r="42" spans="1:5" x14ac:dyDescent="0.3">
      <c r="A42">
        <v>41</v>
      </c>
      <c r="B42" t="s">
        <v>48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49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50</v>
      </c>
      <c r="C44" s="1">
        <v>0.66</v>
      </c>
      <c r="D44" s="1">
        <v>0.21</v>
      </c>
      <c r="E44" s="1">
        <v>0.13</v>
      </c>
    </row>
    <row r="45" spans="1:5" x14ac:dyDescent="0.3">
      <c r="A45">
        <v>44</v>
      </c>
      <c r="B45" t="s">
        <v>51</v>
      </c>
      <c r="C45" s="1">
        <v>0.66</v>
      </c>
      <c r="D45" s="1">
        <v>0.2</v>
      </c>
      <c r="E45" s="1">
        <v>0.14000000000000001</v>
      </c>
    </row>
    <row r="46" spans="1:5" x14ac:dyDescent="0.3">
      <c r="A46">
        <v>45</v>
      </c>
      <c r="B46" t="s">
        <v>52</v>
      </c>
      <c r="C46" s="1">
        <v>0.65</v>
      </c>
      <c r="D46" s="1">
        <v>0.23</v>
      </c>
      <c r="E46" s="1">
        <v>0.12</v>
      </c>
    </row>
    <row r="47" spans="1:5" x14ac:dyDescent="0.3">
      <c r="A47">
        <v>46</v>
      </c>
      <c r="B47" t="s">
        <v>53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54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55</v>
      </c>
      <c r="C49" s="1">
        <v>0.7</v>
      </c>
      <c r="D49" s="1">
        <v>0.17</v>
      </c>
      <c r="E49" s="1">
        <v>0.13</v>
      </c>
    </row>
    <row r="50" spans="1:5" x14ac:dyDescent="0.3">
      <c r="A50">
        <v>49</v>
      </c>
      <c r="B50" t="s">
        <v>56</v>
      </c>
      <c r="C50" s="1">
        <v>0.63</v>
      </c>
      <c r="D50" s="1">
        <v>0.23</v>
      </c>
      <c r="E50" s="1">
        <v>0.14000000000000001</v>
      </c>
    </row>
    <row r="51" spans="1:5" x14ac:dyDescent="0.3">
      <c r="A51">
        <v>50</v>
      </c>
      <c r="B51" t="s">
        <v>57</v>
      </c>
      <c r="C51" s="1">
        <v>0.67</v>
      </c>
      <c r="D51" s="1">
        <v>0.19</v>
      </c>
      <c r="E51" s="1">
        <v>0.14000000000000001</v>
      </c>
    </row>
    <row r="52" spans="1:5" x14ac:dyDescent="0.3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52" xr:uid="{5EB42633-2D3B-4438-96AB-D3B23E34B04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459E-B130-4D21-B22E-2470CF383F32}">
  <dimension ref="A1:AZ4"/>
  <sheetViews>
    <sheetView workbookViewId="0">
      <pane xSplit="1" ySplit="1" topLeftCell="W2" activePane="bottomRight" state="frozen"/>
      <selection pane="topRight" activeCell="B1" sqref="B1"/>
      <selection pane="bottomLeft" activeCell="A2" sqref="A2"/>
      <selection pane="bottomRight" activeCell="AW9" sqref="AW9"/>
    </sheetView>
  </sheetViews>
  <sheetFormatPr defaultRowHeight="14.4" x14ac:dyDescent="0.3"/>
  <cols>
    <col min="1" max="1" width="10.109375" bestFit="1" customWidth="1"/>
    <col min="2" max="2" width="8.109375" bestFit="1" customWidth="1"/>
    <col min="3" max="3" width="6.33203125" bestFit="1" customWidth="1"/>
    <col min="4" max="4" width="7" bestFit="1" customWidth="1"/>
    <col min="5" max="5" width="8.44140625" bestFit="1" customWidth="1"/>
    <col min="6" max="6" width="8.6640625" bestFit="1" customWidth="1"/>
    <col min="7" max="7" width="8.33203125" bestFit="1" customWidth="1"/>
    <col min="8" max="8" width="10.6640625" bestFit="1" customWidth="1"/>
    <col min="9" max="9" width="8.6640625" bestFit="1" customWidth="1"/>
    <col min="10" max="10" width="16.6640625" bestFit="1" customWidth="1"/>
    <col min="11" max="11" width="6.5546875" bestFit="1" customWidth="1"/>
    <col min="12" max="12" width="7.33203125" bestFit="1" customWidth="1"/>
    <col min="13" max="13" width="6.5546875" bestFit="1" customWidth="1"/>
    <col min="14" max="14" width="5.44140625" bestFit="1" customWidth="1"/>
    <col min="15" max="15" width="6.109375" bestFit="1" customWidth="1"/>
    <col min="16" max="16" width="6.88671875" bestFit="1" customWidth="1"/>
    <col min="17" max="17" width="4.6640625" bestFit="1" customWidth="1"/>
    <col min="18" max="18" width="6.6640625" bestFit="1" customWidth="1"/>
    <col min="19" max="19" width="8.33203125" bestFit="1" customWidth="1"/>
    <col min="20" max="20" width="8.6640625" bestFit="1" customWidth="1"/>
    <col min="21" max="21" width="5.88671875" bestFit="1" customWidth="1"/>
    <col min="22" max="22" width="8.33203125" bestFit="1" customWidth="1"/>
    <col min="23" max="23" width="13.33203125" bestFit="1" customWidth="1"/>
    <col min="24" max="24" width="8.33203125" bestFit="1" customWidth="1"/>
    <col min="25" max="25" width="9.33203125" bestFit="1" customWidth="1"/>
    <col min="26" max="26" width="9.6640625" bestFit="1" customWidth="1"/>
    <col min="27" max="27" width="7.6640625" bestFit="1" customWidth="1"/>
    <col min="28" max="28" width="8" bestFit="1" customWidth="1"/>
    <col min="29" max="29" width="8.6640625" bestFit="1" customWidth="1"/>
    <col min="30" max="30" width="7.109375" bestFit="1" customWidth="1"/>
    <col min="31" max="31" width="14" bestFit="1" customWidth="1"/>
    <col min="32" max="32" width="10" bestFit="1" customWidth="1"/>
    <col min="33" max="33" width="10.6640625" bestFit="1" customWidth="1"/>
    <col min="34" max="34" width="8.5546875" bestFit="1" customWidth="1"/>
    <col min="35" max="35" width="12.6640625" bestFit="1" customWidth="1"/>
    <col min="36" max="36" width="11.5546875" bestFit="1" customWidth="1"/>
    <col min="37" max="37" width="4.6640625" bestFit="1" customWidth="1"/>
    <col min="38" max="38" width="9.33203125" bestFit="1" customWidth="1"/>
    <col min="39" max="39" width="6.88671875" bestFit="1" customWidth="1"/>
    <col min="40" max="40" width="11.44140625" bestFit="1" customWidth="1"/>
    <col min="41" max="41" width="11.33203125" bestFit="1" customWidth="1"/>
    <col min="42" max="42" width="12.6640625" bestFit="1" customWidth="1"/>
    <col min="43" max="43" width="11.5546875" bestFit="1" customWidth="1"/>
    <col min="44" max="44" width="9.6640625" bestFit="1" customWidth="1"/>
    <col min="45" max="45" width="5.5546875" bestFit="1" customWidth="1"/>
    <col min="46" max="46" width="4.6640625" bestFit="1" customWidth="1"/>
    <col min="47" max="47" width="7.88671875" bestFit="1" customWidth="1"/>
    <col min="48" max="48" width="7" bestFit="1" customWidth="1"/>
    <col min="49" max="49" width="10.44140625" bestFit="1" customWidth="1"/>
    <col min="50" max="50" width="11.44140625" bestFit="1" customWidth="1"/>
    <col min="51" max="51" width="9.33203125" bestFit="1" customWidth="1"/>
    <col min="52" max="52" width="8.33203125" bestFit="1" customWidth="1"/>
  </cols>
  <sheetData>
    <row r="1" spans="1:52" x14ac:dyDescent="0.3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 x14ac:dyDescent="0.3">
      <c r="A2" t="s">
        <v>2</v>
      </c>
      <c r="B2" s="1">
        <v>0.64</v>
      </c>
      <c r="C2" s="1">
        <v>0.69</v>
      </c>
      <c r="D2" s="1">
        <v>0.67</v>
      </c>
      <c r="E2" s="1">
        <v>0.65</v>
      </c>
      <c r="F2" s="1">
        <v>0.66</v>
      </c>
      <c r="G2" s="1">
        <v>0.67</v>
      </c>
      <c r="H2" s="1">
        <v>0.63</v>
      </c>
      <c r="I2" s="1">
        <v>0.64</v>
      </c>
      <c r="J2" s="1">
        <v>0.68</v>
      </c>
      <c r="K2" s="1">
        <v>0.63</v>
      </c>
      <c r="L2" s="1">
        <v>0.64</v>
      </c>
      <c r="M2" s="1">
        <v>0.71</v>
      </c>
      <c r="N2" s="1">
        <v>0.68</v>
      </c>
      <c r="O2" s="1">
        <v>0.63</v>
      </c>
      <c r="P2" s="1">
        <v>0.65</v>
      </c>
      <c r="Q2" s="1">
        <v>0.68</v>
      </c>
      <c r="R2" s="1">
        <v>0.68</v>
      </c>
      <c r="S2" s="1">
        <v>0.63</v>
      </c>
      <c r="T2" s="1">
        <v>0.68</v>
      </c>
      <c r="U2" s="1">
        <v>0.69</v>
      </c>
      <c r="V2" s="1">
        <v>0.62</v>
      </c>
      <c r="W2" s="1">
        <v>0.62</v>
      </c>
      <c r="X2" s="1">
        <v>0.66</v>
      </c>
      <c r="Y2" s="1">
        <v>0.68</v>
      </c>
      <c r="Z2" s="1">
        <v>0.66</v>
      </c>
      <c r="AA2" s="1">
        <v>0.67</v>
      </c>
      <c r="AB2" s="1">
        <v>0.74</v>
      </c>
      <c r="AC2" s="1">
        <v>0.69</v>
      </c>
      <c r="AD2" s="1">
        <v>0.67</v>
      </c>
      <c r="AE2" s="1">
        <v>0.67</v>
      </c>
      <c r="AF2" s="1">
        <v>0.61</v>
      </c>
      <c r="AG2" s="1">
        <v>0.67</v>
      </c>
      <c r="AH2" s="1">
        <v>0.65</v>
      </c>
      <c r="AI2" s="1">
        <v>0.63</v>
      </c>
      <c r="AJ2" s="1">
        <v>0.69</v>
      </c>
      <c r="AK2" s="1">
        <v>0.63</v>
      </c>
      <c r="AL2" s="1">
        <v>0.69</v>
      </c>
      <c r="AM2" s="1">
        <v>0.69</v>
      </c>
      <c r="AN2" s="1">
        <v>0.61</v>
      </c>
      <c r="AO2" s="1">
        <v>0.62</v>
      </c>
      <c r="AP2" s="1">
        <v>0.65</v>
      </c>
      <c r="AQ2" s="1">
        <v>0.76</v>
      </c>
      <c r="AR2" s="1">
        <v>0.66</v>
      </c>
      <c r="AS2" s="1">
        <v>0.66</v>
      </c>
      <c r="AT2" s="1">
        <v>0.65</v>
      </c>
      <c r="AU2" s="1">
        <v>0.69</v>
      </c>
      <c r="AV2" s="1">
        <v>0.62</v>
      </c>
      <c r="AW2" s="1">
        <v>0.7</v>
      </c>
      <c r="AX2" s="1">
        <v>0.63</v>
      </c>
      <c r="AY2" s="1">
        <v>0.67</v>
      </c>
      <c r="AZ2" s="1">
        <v>0.71</v>
      </c>
    </row>
    <row r="3" spans="1:52" x14ac:dyDescent="0.3">
      <c r="A3" t="s">
        <v>3</v>
      </c>
      <c r="B3" s="1">
        <v>0.24</v>
      </c>
      <c r="C3" s="1">
        <v>0.16</v>
      </c>
      <c r="D3" s="1">
        <v>0.2</v>
      </c>
      <c r="E3" s="1">
        <v>0.22</v>
      </c>
      <c r="F3" s="1">
        <v>0.19</v>
      </c>
      <c r="G3" s="1">
        <v>0.18</v>
      </c>
      <c r="H3" s="1">
        <v>0.22</v>
      </c>
      <c r="I3" s="1">
        <v>0.22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0.22</v>
      </c>
      <c r="P3" s="1">
        <v>0.22</v>
      </c>
      <c r="Q3" s="1">
        <v>0.19</v>
      </c>
      <c r="R3" s="1">
        <v>0.19</v>
      </c>
      <c r="S3" s="1">
        <v>0.24</v>
      </c>
      <c r="T3" s="1">
        <v>0.2</v>
      </c>
      <c r="U3" s="1">
        <v>0.18</v>
      </c>
      <c r="V3" s="1">
        <v>0.23</v>
      </c>
      <c r="W3" s="1">
        <v>0.21</v>
      </c>
      <c r="X3" s="1">
        <v>0.21</v>
      </c>
      <c r="Y3" s="1">
        <v>0.18</v>
      </c>
      <c r="Z3" s="1">
        <v>0.21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0.24</v>
      </c>
      <c r="AO3" s="1">
        <v>0.25</v>
      </c>
      <c r="AP3" s="1">
        <v>0.23</v>
      </c>
      <c r="AQ3" s="1">
        <v>0.14000000000000001</v>
      </c>
      <c r="AR3" s="1">
        <v>0.21</v>
      </c>
      <c r="AS3" s="1">
        <v>0.2</v>
      </c>
      <c r="AT3" s="1">
        <v>0.23</v>
      </c>
      <c r="AU3" s="1">
        <v>0.17</v>
      </c>
      <c r="AV3" s="1">
        <v>0.24</v>
      </c>
      <c r="AW3" s="1">
        <v>0.17</v>
      </c>
      <c r="AX3" s="1">
        <v>0.23</v>
      </c>
      <c r="AY3" s="1">
        <v>0.19</v>
      </c>
      <c r="AZ3" s="1">
        <v>0.16</v>
      </c>
    </row>
    <row r="4" spans="1:52" x14ac:dyDescent="0.3">
      <c r="A4" t="s">
        <v>4</v>
      </c>
      <c r="B4" s="1">
        <v>0.12</v>
      </c>
      <c r="C4" s="1">
        <v>0.15</v>
      </c>
      <c r="D4" s="1">
        <v>0.13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0.16</v>
      </c>
      <c r="K4" s="1">
        <v>0.14000000000000001</v>
      </c>
      <c r="L4" s="1">
        <v>0.13</v>
      </c>
      <c r="M4" s="1">
        <v>0.15</v>
      </c>
      <c r="N4" s="1">
        <v>0.13</v>
      </c>
      <c r="O4" s="1">
        <v>0.15</v>
      </c>
      <c r="P4" s="1">
        <v>0.13</v>
      </c>
      <c r="Q4" s="1">
        <v>0.13</v>
      </c>
      <c r="R4" s="1">
        <v>0.13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0.13</v>
      </c>
      <c r="AA4" s="1">
        <v>0.14000000000000001</v>
      </c>
      <c r="AB4" s="1">
        <v>0.12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0.15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0.13</v>
      </c>
      <c r="AP4" s="1">
        <v>0.12</v>
      </c>
      <c r="AQ4" s="1">
        <v>0.1</v>
      </c>
      <c r="AR4" s="1">
        <v>0.13</v>
      </c>
      <c r="AS4" s="1">
        <v>0.14000000000000001</v>
      </c>
      <c r="AT4" s="1">
        <v>0.12</v>
      </c>
      <c r="AU4" s="1">
        <v>0.14000000000000001</v>
      </c>
      <c r="AV4" s="1">
        <v>0.14000000000000001</v>
      </c>
      <c r="AW4" s="1">
        <v>0.13</v>
      </c>
      <c r="AX4" s="1">
        <v>0.14000000000000001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9A3B-F116-42F7-9CFD-28D4D43E2892}">
  <dimension ref="A1:Q17"/>
  <sheetViews>
    <sheetView tabSelected="1" workbookViewId="0">
      <selection activeCell="O6" sqref="O6"/>
    </sheetView>
  </sheetViews>
  <sheetFormatPr defaultRowHeight="14.4" x14ac:dyDescent="0.3"/>
  <cols>
    <col min="1" max="1" width="11.44140625" customWidth="1"/>
    <col min="2" max="2" width="12.5546875" customWidth="1"/>
    <col min="3" max="3" width="9.6640625" customWidth="1"/>
    <col min="15" max="15" width="12.44140625" bestFit="1" customWidth="1"/>
    <col min="16" max="16" width="16.44140625" bestFit="1" customWidth="1"/>
    <col min="17" max="17" width="15.5546875" bestFit="1" customWidth="1"/>
  </cols>
  <sheetData>
    <row r="1" spans="1:17" x14ac:dyDescent="0.3">
      <c r="A1" t="s">
        <v>59</v>
      </c>
      <c r="B1" t="s">
        <v>60</v>
      </c>
      <c r="C1" t="s">
        <v>2</v>
      </c>
      <c r="D1" t="s">
        <v>3</v>
      </c>
    </row>
    <row r="2" spans="1:17" x14ac:dyDescent="0.3">
      <c r="A2" t="s">
        <v>55</v>
      </c>
      <c r="B2" t="s">
        <v>61</v>
      </c>
      <c r="C2" s="7">
        <f>VLOOKUP('sales region lookup'!A2,'by search term'!B:C,2,FALSE)</f>
        <v>0.7</v>
      </c>
      <c r="D2" s="7">
        <f>_xlfn.XLOOKUP(A2, 'by search term'!B1:B52, 'by search term'!D1:D52, "not found")</f>
        <v>0.17</v>
      </c>
    </row>
    <row r="3" spans="1:17" x14ac:dyDescent="0.3">
      <c r="A3" t="s">
        <v>45</v>
      </c>
      <c r="B3" t="s">
        <v>61</v>
      </c>
      <c r="C3" s="7">
        <f>VLOOKUP('sales region lookup'!A3,'by search term'!B:C,2,FALSE)</f>
        <v>0.69</v>
      </c>
      <c r="D3" s="7">
        <f>_xlfn.XLOOKUP(A3, 'by search term'!B2:B53, 'by search term'!D2:D53, "not found")</f>
        <v>0.18</v>
      </c>
    </row>
    <row r="4" spans="1:17" x14ac:dyDescent="0.3">
      <c r="A4" t="s">
        <v>20</v>
      </c>
      <c r="B4" t="s">
        <v>61</v>
      </c>
      <c r="C4" s="7">
        <f>VLOOKUP('sales region lookup'!A4,'by search term'!B:C,2,FALSE)</f>
        <v>0.68</v>
      </c>
      <c r="D4" s="7">
        <f>_xlfn.XLOOKUP(A4, 'by search term'!B3:B54, 'by search term'!D3:D54, "not found")</f>
        <v>0.19</v>
      </c>
      <c r="O4" s="8" t="s">
        <v>60</v>
      </c>
      <c r="P4" t="s">
        <v>67</v>
      </c>
    </row>
    <row r="5" spans="1:17" x14ac:dyDescent="0.3">
      <c r="A5" t="s">
        <v>34</v>
      </c>
      <c r="B5" t="s">
        <v>61</v>
      </c>
      <c r="C5" s="7">
        <f>VLOOKUP('sales region lookup'!A5,'by search term'!B:C,2,FALSE)</f>
        <v>0.74</v>
      </c>
      <c r="D5" s="7">
        <f>_xlfn.XLOOKUP(A5, 'by search term'!B4:B55, 'by search term'!D4:D55, "not found")</f>
        <v>0.14000000000000001</v>
      </c>
    </row>
    <row r="6" spans="1:17" x14ac:dyDescent="0.3">
      <c r="A6" t="s">
        <v>42</v>
      </c>
      <c r="B6" t="s">
        <v>62</v>
      </c>
      <c r="C6" s="7">
        <f>VLOOKUP('sales region lookup'!A6,'by search term'!B:C,2,FALSE)</f>
        <v>0.69</v>
      </c>
      <c r="D6" s="7">
        <f>_xlfn.XLOOKUP(A6, 'by search term'!B5:B56, 'by search term'!D5:D56, "not found")</f>
        <v>0.19</v>
      </c>
      <c r="O6" s="8" t="s">
        <v>63</v>
      </c>
      <c r="P6" t="s">
        <v>65</v>
      </c>
      <c r="Q6" t="s">
        <v>66</v>
      </c>
    </row>
    <row r="7" spans="1:17" x14ac:dyDescent="0.3">
      <c r="A7" t="s">
        <v>49</v>
      </c>
      <c r="B7" t="s">
        <v>62</v>
      </c>
      <c r="C7" s="7">
        <f>VLOOKUP('sales region lookup'!A7,'by search term'!B:C,2,FALSE)</f>
        <v>0.76</v>
      </c>
      <c r="D7" s="7">
        <f>_xlfn.XLOOKUP(A7, 'by search term'!B6:B57, 'by search term'!D6:D57, "not found")</f>
        <v>0.14000000000000001</v>
      </c>
      <c r="O7" s="9" t="s">
        <v>20</v>
      </c>
      <c r="P7" s="1">
        <v>0.68</v>
      </c>
      <c r="Q7" s="1">
        <v>0.19</v>
      </c>
    </row>
    <row r="8" spans="1:17" x14ac:dyDescent="0.3">
      <c r="A8" t="s">
        <v>35</v>
      </c>
      <c r="B8" t="s">
        <v>62</v>
      </c>
      <c r="C8" s="7">
        <f>VLOOKUP('sales region lookup'!A8,'by search term'!B:C,2,FALSE)</f>
        <v>0.69</v>
      </c>
      <c r="D8" s="7">
        <f>_xlfn.XLOOKUP(A8, 'by search term'!B7:B58, 'by search term'!D7:D58, "not found")</f>
        <v>0.18</v>
      </c>
      <c r="O8" s="9" t="s">
        <v>30</v>
      </c>
      <c r="P8" s="1">
        <v>0.66</v>
      </c>
      <c r="Q8" s="1">
        <v>0.21</v>
      </c>
    </row>
    <row r="9" spans="1:17" x14ac:dyDescent="0.3">
      <c r="A9" t="s">
        <v>31</v>
      </c>
      <c r="B9" t="s">
        <v>62</v>
      </c>
      <c r="C9" s="7">
        <f>VLOOKUP('sales region lookup'!A9,'by search term'!B:C,2,FALSE)</f>
        <v>0.68</v>
      </c>
      <c r="D9" s="7">
        <f>_xlfn.XLOOKUP(A9, 'by search term'!B8:B59, 'by search term'!D8:D59, "not found")</f>
        <v>0.18</v>
      </c>
      <c r="O9" s="9" t="s">
        <v>31</v>
      </c>
      <c r="P9" s="1">
        <v>0.68</v>
      </c>
      <c r="Q9" s="1">
        <v>0.18</v>
      </c>
    </row>
    <row r="10" spans="1:17" x14ac:dyDescent="0.3">
      <c r="A10" t="s">
        <v>57</v>
      </c>
      <c r="B10" t="s">
        <v>62</v>
      </c>
      <c r="C10" s="7">
        <f>VLOOKUP('sales region lookup'!A10,'by search term'!B:C,2,FALSE)</f>
        <v>0.67</v>
      </c>
      <c r="D10" s="7">
        <f>_xlfn.XLOOKUP(A10, 'by search term'!B9:B60, 'by search term'!D9:D60, "not found")</f>
        <v>0.19</v>
      </c>
      <c r="O10" s="9" t="s">
        <v>34</v>
      </c>
      <c r="P10" s="1">
        <v>0.74</v>
      </c>
      <c r="Q10" s="1">
        <v>0.14000000000000001</v>
      </c>
    </row>
    <row r="11" spans="1:17" x14ac:dyDescent="0.3">
      <c r="A11" t="s">
        <v>30</v>
      </c>
      <c r="B11" t="s">
        <v>62</v>
      </c>
      <c r="C11" s="7">
        <f>VLOOKUP('sales region lookup'!A11,'by search term'!B:C,2,FALSE)</f>
        <v>0.66</v>
      </c>
      <c r="D11" s="7">
        <f>_xlfn.XLOOKUP(A11, 'by search term'!B10:B61, 'by search term'!D10:D61, "not found")</f>
        <v>0.21</v>
      </c>
      <c r="O11" s="9" t="s">
        <v>35</v>
      </c>
      <c r="P11" s="1">
        <v>0.69</v>
      </c>
      <c r="Q11" s="1">
        <v>0.18</v>
      </c>
    </row>
    <row r="12" spans="1:17" x14ac:dyDescent="0.3">
      <c r="O12" s="9" t="s">
        <v>42</v>
      </c>
      <c r="P12" s="1">
        <v>0.69</v>
      </c>
      <c r="Q12" s="1">
        <v>0.19</v>
      </c>
    </row>
    <row r="13" spans="1:17" x14ac:dyDescent="0.3">
      <c r="O13" s="9" t="s">
        <v>45</v>
      </c>
      <c r="P13" s="1">
        <v>0.69</v>
      </c>
      <c r="Q13" s="1">
        <v>0.18</v>
      </c>
    </row>
    <row r="14" spans="1:17" x14ac:dyDescent="0.3">
      <c r="O14" s="9" t="s">
        <v>49</v>
      </c>
      <c r="P14" s="1">
        <v>0.76</v>
      </c>
      <c r="Q14" s="1">
        <v>0.14000000000000001</v>
      </c>
    </row>
    <row r="15" spans="1:17" x14ac:dyDescent="0.3">
      <c r="O15" s="9" t="s">
        <v>55</v>
      </c>
      <c r="P15" s="1">
        <v>0.7</v>
      </c>
      <c r="Q15" s="1">
        <v>0.17</v>
      </c>
    </row>
    <row r="16" spans="1:17" x14ac:dyDescent="0.3">
      <c r="O16" s="9" t="s">
        <v>57</v>
      </c>
      <c r="P16" s="1">
        <v>0.67</v>
      </c>
      <c r="Q16" s="1">
        <v>0.19</v>
      </c>
    </row>
    <row r="17" spans="15:17" x14ac:dyDescent="0.3">
      <c r="O17" s="9" t="s">
        <v>64</v>
      </c>
      <c r="P17" s="1">
        <v>6.96</v>
      </c>
      <c r="Q17" s="1">
        <v>1.77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idasha lee</cp:lastModifiedBy>
  <cp:revision/>
  <dcterms:created xsi:type="dcterms:W3CDTF">2026-10-15T01:39:23Z</dcterms:created>
  <dcterms:modified xsi:type="dcterms:W3CDTF">2026-10-16T02:26:37Z</dcterms:modified>
  <cp:category/>
  <cp:contentStatus/>
</cp:coreProperties>
</file>