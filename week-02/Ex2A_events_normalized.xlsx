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ilee_my_yearupunited_org/Documents/Documents/DataAnalytics/week-02/"/>
    </mc:Choice>
  </mc:AlternateContent>
  <xr:revisionPtr revIDLastSave="263" documentId="8_{C45A7C91-6827-4A29-86ED-31ED56AD6826}" xr6:coauthVersionLast="47" xr6:coauthVersionMax="47" xr10:uidLastSave="{AA673759-89A8-4598-A297-D34AE1D9DE72}"/>
  <bookViews>
    <workbookView xWindow="-108" yWindow="-108" windowWidth="23256" windowHeight="13896" xr2:uid="{5091876E-AF08-41C4-B976-D2AB9D8B455C}"/>
  </bookViews>
  <sheets>
    <sheet name="events_sample" sheetId="1" r:id="rId1"/>
  </sheets>
  <calcPr calcId="191029"/>
  <pivotCaches>
    <pivotCache cacheId="68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idasha lee</author>
  </authors>
  <commentList>
    <comment ref="B93" authorId="0" shapeId="0" xr:uid="{2AA7E9E9-F4B3-4C0B-B90D-5DF34B41611B}">
      <text>
        <r>
          <rPr>
            <b/>
            <sz val="9"/>
            <color indexed="81"/>
            <rFont val="Tahoma"/>
            <family val="2"/>
          </rPr>
          <t>idasha lee: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<sst xmlns="http://schemas.openxmlformats.org/spreadsheetml/2006/main" count="566" uniqueCount="290">
  <si>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</si>
  <si>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</si>
  <si>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</si>
  <si>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</si>
  <si>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</si>
  <si>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</si>
  <si>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</si>
  <si>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</si>
  <si>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</si>
  <si>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</si>
  <si>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</si>
  <si>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</si>
  <si>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</si>
  <si>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</si>
  <si>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</si>
  <si>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</si>
  <si>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</si>
  <si>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</si>
  <si>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</si>
  <si>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</si>
  <si>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</si>
  <si>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</si>
  <si>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</si>
  <si>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</si>
  <si>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</si>
  <si>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</si>
  <si>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</si>
  <si>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</si>
  <si>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</si>
  <si>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</si>
  <si>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</si>
  <si>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</si>
  <si>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</si>
  <si>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</si>
  <si>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</si>
  <si>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</si>
  <si>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</si>
  <si>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</si>
  <si>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</si>
  <si>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</si>
  <si>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</si>
  <si>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</si>
  <si>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</si>
  <si>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</si>
  <si>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</si>
  <si>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</si>
  <si>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</si>
  <si>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</si>
  <si>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</si>
  <si>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</si>
  <si>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</si>
  <si>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</si>
  <si>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</si>
  <si>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</si>
  <si>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</si>
  <si>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</si>
  <si>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</si>
  <si>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</si>
  <si>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</si>
  <si>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</si>
  <si>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</si>
  <si>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</si>
  <si>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</si>
  <si>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</si>
  <si>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</si>
  <si>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</si>
  <si>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</si>
  <si>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</si>
  <si>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</si>
  <si>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</si>
  <si>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</si>
  <si>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</si>
  <si>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</si>
  <si>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</si>
  <si>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</si>
  <si>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</si>
  <si>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</si>
  <si>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</si>
  <si>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</si>
  <si>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</si>
  <si>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</si>
  <si>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</si>
  <si>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</si>
  <si>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</si>
  <si>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</si>
  <si>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</si>
  <si>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</si>
  <si>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</si>
  <si>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</si>
  <si>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</si>
  <si>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</si>
  <si>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</si>
  <si>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</si>
  <si>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</si>
  <si>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</si>
  <si>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</si>
  <si>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</si>
  <si>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</si>
  <si>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</si>
  <si>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</si>
  <si>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</si>
  <si>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</si>
  <si>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</si>
  <si>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</si>
  <si>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</si>
  <si>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</si>
  <si>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</si>
  <si>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</si>
  <si>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</si>
  <si>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</si>
  <si>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</si>
  <si>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</si>
  <si>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</si>
  <si>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</si>
  <si>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</si>
  <si>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</si>
  <si>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</si>
  <si>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</si>
  <si>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</si>
  <si>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</si>
  <si>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</si>
  <si>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</si>
  <si>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</si>
  <si>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</si>
  <si>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</si>
  <si>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Grand Total</t>
  </si>
  <si>
    <t>Column Labels</t>
  </si>
  <si>
    <t xml:space="preserve">Venue </t>
  </si>
  <si>
    <t>Category</t>
  </si>
  <si>
    <t>102 Total</t>
  </si>
  <si>
    <t>103 Total</t>
  </si>
  <si>
    <t>104 Total</t>
  </si>
  <si>
    <t>105 Total</t>
  </si>
  <si>
    <t>106 Total</t>
  </si>
  <si>
    <t>107 Total</t>
  </si>
  <si>
    <t>108 Total</t>
  </si>
  <si>
    <t>109 Total</t>
  </si>
  <si>
    <t>110 Total</t>
  </si>
  <si>
    <t>111 Total</t>
  </si>
  <si>
    <t>112 Total</t>
  </si>
  <si>
    <t>Music Total</t>
  </si>
  <si>
    <t>Comedy Total</t>
  </si>
  <si>
    <t>Conference Total</t>
  </si>
  <si>
    <t>Literary Total</t>
  </si>
  <si>
    <t>Festival Total</t>
  </si>
  <si>
    <t>Film Total</t>
  </si>
  <si>
    <t>Art Total</t>
  </si>
  <si>
    <t>Location</t>
  </si>
  <si>
    <t xml:space="preserve"> Austin Total</t>
  </si>
  <si>
    <t xml:space="preserve"> Chicago Total</t>
  </si>
  <si>
    <t xml:space="preserve"> Detroit Total</t>
  </si>
  <si>
    <t xml:space="preserve"> Los Angeles Total</t>
  </si>
  <si>
    <t xml:space="preserve"> Miami Total</t>
  </si>
  <si>
    <t xml:space="preserve"> New York Total</t>
  </si>
  <si>
    <t xml:space="preserve"> Portland Total</t>
  </si>
  <si>
    <t xml:space="preserve"> West Hollywood Total</t>
  </si>
  <si>
    <t xml:space="preserve"> TX Total</t>
  </si>
  <si>
    <t xml:space="preserve"> IL Total</t>
  </si>
  <si>
    <t xml:space="preserve"> MI Total</t>
  </si>
  <si>
    <t xml:space="preserve"> CA Total</t>
  </si>
  <si>
    <t xml:space="preserve"> FL Total</t>
  </si>
  <si>
    <t xml:space="preserve"> NY Total</t>
  </si>
  <si>
    <t xml:space="preserve"> OR Total</t>
  </si>
  <si>
    <t xml:space="preserve"> 3250 Riverside Drive Total</t>
  </si>
  <si>
    <t xml:space="preserve"> 1201 Convention Plaza Total</t>
  </si>
  <si>
    <t xml:space="preserve"> 500 Michigan Avenue Total</t>
  </si>
  <si>
    <t xml:space="preserve"> 1847 Sunset Boulevard Total</t>
  </si>
  <si>
    <t xml:space="preserve"> 975 Art Walk Lane Total</t>
  </si>
  <si>
    <t xml:space="preserve"> 156 Bleecker Street Total</t>
  </si>
  <si>
    <t xml:space="preserve"> 428 Greenwich Avenue Total</t>
  </si>
  <si>
    <t xml:space="preserve"> 2847 Broadway Street Total</t>
  </si>
  <si>
    <t xml:space="preserve"> 8001 Sunset Boulevard Total</t>
  </si>
  <si>
    <t>78741 Total</t>
  </si>
  <si>
    <t>60616 Total</t>
  </si>
  <si>
    <t>48226 Total</t>
  </si>
  <si>
    <t>90026 Total</t>
  </si>
  <si>
    <t>33132 Total</t>
  </si>
  <si>
    <t>10012 Total</t>
  </si>
  <si>
    <t>10011 Total</t>
  </si>
  <si>
    <t>97214 Total</t>
  </si>
  <si>
    <t>90046 Total</t>
  </si>
  <si>
    <t>4th table:</t>
  </si>
  <si>
    <t>u0422 Total</t>
  </si>
  <si>
    <t>u0865 Total</t>
  </si>
  <si>
    <t>u0187 Total</t>
  </si>
  <si>
    <t>u0156 Total</t>
  </si>
  <si>
    <t>u0561 Total</t>
  </si>
  <si>
    <t>u1023 Total</t>
  </si>
  <si>
    <t>Larry Song Total</t>
  </si>
  <si>
    <t>Sarah Mitchell Total</t>
  </si>
  <si>
    <t>Mike Chen Total</t>
  </si>
  <si>
    <t>Elena Rodriguez Total</t>
  </si>
  <si>
    <t>David Park Total</t>
  </si>
  <si>
    <t>Jennifer Wu Total</t>
  </si>
  <si>
    <t>Row Labels</t>
  </si>
  <si>
    <t>Events</t>
  </si>
  <si>
    <t>Venues</t>
  </si>
  <si>
    <t>Venue Name</t>
  </si>
  <si>
    <t>Address</t>
  </si>
  <si>
    <t>City</t>
  </si>
  <si>
    <t>State</t>
  </si>
  <si>
    <t>ZIP Code</t>
  </si>
  <si>
    <t>Contact Name</t>
  </si>
  <si>
    <t>Contact Email</t>
  </si>
  <si>
    <t>Contact Phone</t>
  </si>
  <si>
    <t>Categories</t>
  </si>
  <si>
    <t>Category Name</t>
  </si>
  <si>
    <t>Event Managers</t>
  </si>
  <si>
    <t>Manager Name</t>
  </si>
  <si>
    <t>Manager Email</t>
  </si>
  <si>
    <t>Form</t>
  </si>
  <si>
    <t>1NF</t>
  </si>
  <si>
    <t>2NF</t>
  </si>
  <si>
    <t>3NF</t>
  </si>
  <si>
    <t>1847 Sunset Boulevard</t>
  </si>
  <si>
    <t>Los Angeles</t>
  </si>
  <si>
    <t>CA</t>
  </si>
  <si>
    <t>Maria Riley</t>
  </si>
  <si>
    <t>maria.r@starlightbar.com</t>
  </si>
  <si>
    <t>(323) 555-0142</t>
  </si>
  <si>
    <t>3250 Riverside Drive</t>
  </si>
  <si>
    <t>Austin</t>
  </si>
  <si>
    <t>TX</t>
  </si>
  <si>
    <t>James Mitchell</t>
  </si>
  <si>
    <t>jmitchell@riversideamp.com</t>
  </si>
  <si>
    <t>(512) 555-0298</t>
  </si>
  <si>
    <t>8001 Sunset Boulevard</t>
  </si>
  <si>
    <t>West Hollywood</t>
  </si>
  <si>
    <t>David Chekov</t>
  </si>
  <si>
    <t>david@laughfactory.com</t>
  </si>
  <si>
    <t>(323) 555-0187</t>
  </si>
  <si>
    <t>1201 Convention Plaza</t>
  </si>
  <si>
    <t>Chicago</t>
  </si>
  <si>
    <t>IL</t>
  </si>
  <si>
    <t>Patricia Anderson</t>
  </si>
  <si>
    <t>p.anderson@dccchicago.com</t>
  </si>
  <si>
    <t>(312) 555-0456</t>
  </si>
  <si>
    <t>428 Greenwich Avenue</t>
  </si>
  <si>
    <t>New York</t>
  </si>
  <si>
    <t>NY</t>
  </si>
  <si>
    <t>Sophie Laurent</t>
  </si>
  <si>
    <t>sophie@cafeboheme.nyc</t>
  </si>
  <si>
    <t>(212) 555-0333</t>
  </si>
  <si>
    <t>2847 Broadway Street</t>
  </si>
  <si>
    <t>Portland</t>
  </si>
  <si>
    <t>OR</t>
  </si>
  <si>
    <t>Robert Kim</t>
  </si>
  <si>
    <t>robert.kim@metrocinema.org</t>
  </si>
  <si>
    <t>(503) 555-0721</t>
  </si>
  <si>
    <t>500 Michigan Avenue</t>
  </si>
  <si>
    <t>Detroit</t>
  </si>
  <si>
    <t>MI</t>
  </si>
  <si>
    <t>Elizabeth Thompson</t>
  </si>
  <si>
    <t>ethompson@grandballroom.com</t>
  </si>
  <si>
    <t>(313) 555-0892</t>
  </si>
  <si>
    <t>156 Bleecker Street</t>
  </si>
  <si>
    <t>Michael O'Brien</t>
  </si>
  <si>
    <t>mike@comedycorner.com</t>
  </si>
  <si>
    <t>(212) 555-0654</t>
  </si>
  <si>
    <t>975 Art Walk Lane</t>
  </si>
  <si>
    <t>Miami</t>
  </si>
  <si>
    <t>FL</t>
  </si>
  <si>
    <t>Amanda Rivera</t>
  </si>
  <si>
    <t>arivera@gallerydistrict.org</t>
  </si>
  <si>
    <t>(305) 555-0401</t>
  </si>
  <si>
    <t>Parent key</t>
  </si>
  <si>
    <t>Relationship</t>
  </si>
  <si>
    <t>tblVenues[Venue ID]</t>
  </si>
  <si>
    <t>tblEvents[Venue ID]</t>
  </si>
  <si>
    <t>tblCategories[Category Code]</t>
  </si>
  <si>
    <t>tblEvents[Category Code]</t>
  </si>
  <si>
    <t>tblManagers[Employee #]</t>
  </si>
  <si>
    <t>tblEvents[Employee #]</t>
  </si>
  <si>
    <t>PK: Event ID | FKs: Venue ID, Category Code, Employee #</t>
  </si>
  <si>
    <t>PK: Venue ID; unique venue and location/contact details</t>
  </si>
  <si>
    <t>PK: Category Code</t>
  </si>
  <si>
    <t>PK: Employee #</t>
  </si>
  <si>
    <t>Normalization and Relationships</t>
  </si>
  <si>
    <t>Requirement met</t>
  </si>
  <si>
    <t>Foreign key</t>
  </si>
  <si>
    <t>Result</t>
  </si>
  <si>
    <t>Atomic values; one record per row</t>
  </si>
  <si>
    <t>—</t>
  </si>
  <si>
    <t>No repeating groups</t>
  </si>
  <si>
    <t>Met</t>
  </si>
  <si>
    <t>All attributes depend on the whole primary key</t>
  </si>
  <si>
    <t>Single-column PKs</t>
  </si>
  <si>
    <t>No transitive dependencies</t>
  </si>
  <si>
    <t>One-to-many</t>
  </si>
  <si>
    <t>It was helpful to see that I have an understanding of the concept and it reassured me on that. However I was aware my formatting was off and it helped better assist with how to properly form them in a table. It gave some suggestions and feedback on changes I could make. The ones I utilized were to improve my underanding on how to properly group in the 1-3NF. I understand grouping data but can grow my understanding on creating a normalized relational table. I use Copilot to help me better understand how to form the tables and the new updated tables are as follows below.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</si>
</sst>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rgb="FF44546A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5"/>
      <color rgb="FFFFFFFF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pivotButton="1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8" fontId="0" fillId="0" borderId="0" xfId="0" applyNumberFormat="1"/>
    <xf numFmtId="0" fontId="16" fillId="35" borderId="0" xfId="0" applyFont="1" applyFill="1" applyAlignment="1">
      <alignment wrapText="1"/>
    </xf>
    <xf numFmtId="0" fontId="0" fillId="0" borderId="0" xfId="0" applyAlignment="1">
      <alignment wrapText="1"/>
    </xf>
    <xf numFmtId="0" fontId="21" fillId="34" borderId="0" xfId="0" applyFont="1" applyFill="1"/>
    <xf numFmtId="0" fontId="22" fillId="34" borderId="0" xfId="0" applyFont="1" applyFill="1"/>
    <xf numFmtId="0" fontId="20" fillId="0" borderId="0" xfId="0" applyFont="1" applyAlignment="1">
      <alignment wrapText="1"/>
    </xf>
    <xf numFmtId="0" fontId="21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8" formatCode="00000"/>
    </dxf>
    <dxf>
      <numFmt numFmtId="19" formatCode="m/d/yyyy"/>
    </dxf>
    <dxf>
      <font>
        <b/>
        <color rgb="FFFFFFFF"/>
      </font>
      <fill>
        <patternFill patternType="solid">
          <fgColor indexed="64"/>
          <bgColor rgb="FF5B9BD5"/>
        </patternFill>
      </fill>
    </dxf>
    <dxf>
      <font>
        <b/>
        <color rgb="FFFFFFFF"/>
      </font>
      <fill>
        <patternFill patternType="solid">
          <fgColor indexed="64"/>
          <bgColor rgb="FF5B9BD5"/>
        </patternFill>
      </fill>
    </dxf>
    <dxf>
      <font>
        <b/>
        <color rgb="FFFFFFFF"/>
      </font>
      <fill>
        <patternFill patternType="solid">
          <fgColor indexed="64"/>
          <bgColor rgb="FF5B9BD5"/>
        </patternFill>
      </fill>
    </dxf>
    <dxf>
      <font>
        <b/>
        <color rgb="FFFFFFFF"/>
      </font>
      <fill>
        <patternFill patternType="solid">
          <fgColor indexed="64"/>
          <bgColor rgb="FF5B9B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dasha lee" refreshedDate="46315.790548611112" createdVersion="8" refreshedVersion="8" minRefreshableVersion="3" recordCount="11" xr:uid="{54CF9AD3-6EB2-4D22-A48C-9C4F13BADDA0}">
  <cacheSource type="worksheet">
    <worksheetSource ref="A1:Q12" sheet="events_sample"/>
  </cacheSource>
  <cacheFields count="19">
    <cacheField name="Event ID" numFmtId="0">
      <sharedItems containsSemiMixedTypes="0" containsString="0" containsNumber="1" containsInteger="1" minValue="102" maxValue="112" count="11">
        <n v="102"/>
        <n v="103"/>
        <n v="104"/>
        <n v="105"/>
        <n v="106"/>
        <n v="107"/>
        <n v="108"/>
        <n v="109"/>
        <n v="110"/>
        <n v="111"/>
        <n v="112"/>
      </sharedItems>
    </cacheField>
    <cacheField name="Event Name" numFmtId="0">
      <sharedItems/>
    </cacheField>
    <cacheField name="Venue Location" numFmtId="0">
      <sharedItems count="9">
        <s v="Starlight Bar"/>
        <s v="Riverside Amphitheater"/>
        <s v="The Laugh Factory"/>
        <s v="Downtown Convention Center"/>
        <s v="Café Bohème"/>
        <s v="Metro Cinema"/>
        <s v="Grand Ballroom Hotel"/>
        <s v="Comedy Corner Club"/>
        <s v="Gallery District"/>
      </sharedItems>
    </cacheField>
    <cacheField name="Event Category" numFmtId="0">
      <sharedItems count="7">
        <s v="Music"/>
        <s v="Comedy"/>
        <s v="Conference"/>
        <s v="Literary"/>
        <s v="Festival"/>
        <s v="Film"/>
        <s v="Art"/>
      </sharedItems>
    </cacheField>
    <cacheField name="Category Code" numFmtId="0">
      <sharedItems containsSemiMixedTypes="0" containsString="0" containsNumber="1" containsInteger="1" minValue="1" maxValue="7" count="7">
        <n v="7"/>
        <n v="2"/>
        <n v="3"/>
        <n v="6"/>
        <n v="4"/>
        <n v="5"/>
        <n v="1"/>
      </sharedItems>
    </cacheField>
    <cacheField name="Event Date" numFmtId="14">
      <sharedItems containsSemiMixedTypes="0" containsNonDate="0" containsDate="1" containsString="0" minDate="2026-03-14T00:00:00" maxDate="2026-07-13T00:00:00" count="11">
        <d v="2026-03-14T00:00:00"/>
        <d v="2026-06-21T00:00:00"/>
        <d v="2026-04-03T00:00:00"/>
        <d v="2026-05-15T00:00:00"/>
        <d v="2026-03-28T00:00:00"/>
        <d v="2026-04-18T00:00:00"/>
        <d v="2026-05-02T00:00:00"/>
        <d v="2026-06-08T00:00:00"/>
        <d v="2026-07-12T00:00:00"/>
        <d v="2026-03-21T00:00:00"/>
        <d v="2026-04-25T00:00:00"/>
      </sharedItems>
      <fieldGroup par="18"/>
    </cacheField>
    <cacheField name="Event Manager" numFmtId="0">
      <sharedItems count="6">
        <s v="Larry Song"/>
        <s v="Sarah Mitchell"/>
        <s v="Mike Chen"/>
        <s v="Elena Rodriguez"/>
        <s v="David Park"/>
        <s v="Jennifer Wu"/>
      </sharedItems>
    </cacheField>
    <cacheField name="Employee #" numFmtId="0">
      <sharedItems count="6">
        <s v="u0156"/>
        <s v="u1023"/>
        <s v="u0561"/>
        <s v="u0865"/>
        <s v="u0422"/>
        <s v="u0187"/>
      </sharedItems>
    </cacheField>
    <cacheField name="Mgr Email" numFmtId="0">
      <sharedItems count="6">
        <s v="larry.song@eventdoodle.com"/>
        <s v="sarah.mitchell@eventdoodle.com"/>
        <s v="mike.chen@eventdoodle.com"/>
        <s v="elena.rodriguez@eventdoodle.com"/>
        <s v="david.park@eventdoodle.com"/>
        <s v="jennifer.wu@eventdoodle.com"/>
      </sharedItems>
    </cacheField>
    <cacheField name="Location Address" numFmtId="0">
      <sharedItems count="9">
        <s v=" 1847 Sunset Boulevard"/>
        <s v=" 3250 Riverside Drive"/>
        <s v=" 8001 Sunset Boulevard"/>
        <s v=" 1201 Convention Plaza"/>
        <s v=" 428 Greenwich Avenue"/>
        <s v=" 2847 Broadway Street"/>
        <s v=" 500 Michigan Avenue"/>
        <s v=" 156 Bleecker Street"/>
        <s v=" 975 Art Walk Lane"/>
      </sharedItems>
    </cacheField>
    <cacheField name="Location City" numFmtId="0">
      <sharedItems count="8">
        <s v=" Los Angeles"/>
        <s v=" Austin"/>
        <s v=" West Hollywood"/>
        <s v=" Chicago"/>
        <s v=" New York"/>
        <s v=" Portland"/>
        <s v=" Detroit"/>
        <s v=" Miami"/>
      </sharedItems>
    </cacheField>
    <cacheField name="Location State" numFmtId="0">
      <sharedItems count="7">
        <s v=" CA"/>
        <s v=" TX"/>
        <s v=" IL"/>
        <s v=" NY"/>
        <s v=" OR"/>
        <s v=" MI"/>
        <s v=" FL"/>
      </sharedItems>
    </cacheField>
    <cacheField name="Location Zip" numFmtId="0">
      <sharedItems containsSemiMixedTypes="0" containsString="0" containsNumber="1" containsInteger="1" minValue="10011" maxValue="97214" count="9">
        <n v="90026"/>
        <n v="78741"/>
        <n v="90046"/>
        <n v="60616"/>
        <n v="10011"/>
        <n v="97214"/>
        <n v="48226"/>
        <n v="10012"/>
        <n v="33132"/>
      </sharedItems>
    </cacheField>
    <cacheField name="Venue ID" numFmtId="0">
      <sharedItems count="9">
        <s v="Starlight_CA"/>
        <s v="RivAmp_TX"/>
        <s v="LafFctry_CA"/>
        <s v="DtwnCon_IL"/>
        <s v="CafeB_NY"/>
        <s v="MetroCin_OR"/>
        <s v="GrBall_MI"/>
        <s v="ComCor_NY"/>
        <s v="GallDst_FL"/>
      </sharedItems>
    </cacheField>
    <cacheField name="Venue Contact Name" numFmtId="0">
      <sharedItems count="9">
        <s v=" Maria Riley"/>
        <s v=" James Mitchell"/>
        <s v=" David Chekov"/>
        <s v=" Patricia Anderson"/>
        <s v=" Sophie Laurent"/>
        <s v=" Robert Kim"/>
        <s v=" Elizabeth Thompson"/>
        <s v=" Michael O'Brien"/>
        <s v=" Amanda Rivera"/>
      </sharedItems>
    </cacheField>
    <cacheField name="Venue Email" numFmtId="0">
      <sharedItems count="9">
        <s v=" maria.r@starlightbar.com"/>
        <s v=" jmitchell@riversideamp.com"/>
        <s v=" david@laughfactory.com"/>
        <s v=" p.anderson@dccchicago.com"/>
        <s v=" sophie@cafeboheme.nyc"/>
        <s v=" robert.kim@metrocinema.org"/>
        <s v=" ethompson@grandballroom.com"/>
        <s v=" mike@comedycorner.com"/>
        <s v=" arivera@gallerydistrict.org"/>
      </sharedItems>
    </cacheField>
    <cacheField name="Venue Phone" numFmtId="0">
      <sharedItems count="9">
        <s v=" (323) 555-0142"/>
        <s v=" (512) 555-0298"/>
        <s v=" (323) 555-0187"/>
        <s v=" (312) 555-0456"/>
        <s v=" (212) 555-0333"/>
        <s v=" (503) 555-0721"/>
        <s v=" (313) 555-0892"/>
        <s v=" (212) 555-0654"/>
        <s v=" (305) 555-0401"/>
      </sharedItems>
    </cacheField>
    <cacheField name="Days (Event Date)" numFmtId="0" databaseField="0">
      <fieldGroup base="5">
        <rangePr groupBy="days" startDate="2026-03-14T00:00:00" endDate="2026-07-13T00:00:00"/>
        <groupItems count="368">
          <s v="&lt;3/14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3/2026"/>
        </groupItems>
      </fieldGroup>
    </cacheField>
    <cacheField name="Months (Event Date)" numFmtId="0" databaseField="0">
      <fieldGroup base="5">
        <rangePr groupBy="months" startDate="2026-03-14T00:00:00" endDate="2026-07-13T00:00:00"/>
        <groupItems count="14">
          <s v="&lt;3/14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Starlight Showcase"/>
    <x v="0"/>
    <x v="0"/>
    <x v="0"/>
    <x v="0"/>
    <x v="0"/>
    <x v="0"/>
    <x v="0"/>
    <x v="0"/>
    <x v="0"/>
    <x v="0"/>
    <x v="0"/>
    <x v="0"/>
    <x v="0"/>
    <x v="0"/>
    <x v="0"/>
  </r>
  <r>
    <x v="1"/>
    <s v="Summer Jazz Festival"/>
    <x v="1"/>
    <x v="0"/>
    <x v="0"/>
    <x v="1"/>
    <x v="1"/>
    <x v="1"/>
    <x v="1"/>
    <x v="1"/>
    <x v="1"/>
    <x v="1"/>
    <x v="1"/>
    <x v="1"/>
    <x v="1"/>
    <x v="1"/>
    <x v="1"/>
  </r>
  <r>
    <x v="2"/>
    <s v="Comedy Night Live"/>
    <x v="2"/>
    <x v="1"/>
    <x v="1"/>
    <x v="2"/>
    <x v="2"/>
    <x v="2"/>
    <x v="2"/>
    <x v="2"/>
    <x v="2"/>
    <x v="0"/>
    <x v="2"/>
    <x v="2"/>
    <x v="2"/>
    <x v="2"/>
    <x v="2"/>
  </r>
  <r>
    <x v="3"/>
    <s v="Tech Innovation Summit"/>
    <x v="3"/>
    <x v="2"/>
    <x v="2"/>
    <x v="3"/>
    <x v="1"/>
    <x v="1"/>
    <x v="1"/>
    <x v="3"/>
    <x v="3"/>
    <x v="2"/>
    <x v="3"/>
    <x v="3"/>
    <x v="3"/>
    <x v="3"/>
    <x v="3"/>
  </r>
  <r>
    <x v="4"/>
    <s v="Sunset Poetry Reading"/>
    <x v="4"/>
    <x v="3"/>
    <x v="3"/>
    <x v="4"/>
    <x v="3"/>
    <x v="3"/>
    <x v="3"/>
    <x v="4"/>
    <x v="4"/>
    <x v="3"/>
    <x v="4"/>
    <x v="4"/>
    <x v="4"/>
    <x v="4"/>
    <x v="4"/>
  </r>
  <r>
    <x v="5"/>
    <s v="Spring Food &amp; Wine Expo"/>
    <x v="3"/>
    <x v="4"/>
    <x v="4"/>
    <x v="5"/>
    <x v="4"/>
    <x v="4"/>
    <x v="4"/>
    <x v="3"/>
    <x v="3"/>
    <x v="2"/>
    <x v="3"/>
    <x v="3"/>
    <x v="3"/>
    <x v="3"/>
    <x v="3"/>
  </r>
  <r>
    <x v="6"/>
    <s v="Indie Film Showcase"/>
    <x v="5"/>
    <x v="5"/>
    <x v="5"/>
    <x v="6"/>
    <x v="2"/>
    <x v="2"/>
    <x v="2"/>
    <x v="5"/>
    <x v="5"/>
    <x v="4"/>
    <x v="5"/>
    <x v="5"/>
    <x v="5"/>
    <x v="5"/>
    <x v="5"/>
  </r>
  <r>
    <x v="7"/>
    <s v="Corporate Leadership Forum"/>
    <x v="6"/>
    <x v="2"/>
    <x v="2"/>
    <x v="7"/>
    <x v="5"/>
    <x v="5"/>
    <x v="5"/>
    <x v="6"/>
    <x v="6"/>
    <x v="5"/>
    <x v="6"/>
    <x v="6"/>
    <x v="6"/>
    <x v="6"/>
    <x v="6"/>
  </r>
  <r>
    <x v="8"/>
    <s v="Blues &amp; BBQ Night"/>
    <x v="0"/>
    <x v="0"/>
    <x v="0"/>
    <x v="8"/>
    <x v="1"/>
    <x v="1"/>
    <x v="1"/>
    <x v="0"/>
    <x v="0"/>
    <x v="0"/>
    <x v="0"/>
    <x v="0"/>
    <x v="0"/>
    <x v="0"/>
    <x v="0"/>
  </r>
  <r>
    <x v="9"/>
    <s v="Stand-Up Saturdays"/>
    <x v="7"/>
    <x v="1"/>
    <x v="1"/>
    <x v="9"/>
    <x v="2"/>
    <x v="2"/>
    <x v="2"/>
    <x v="7"/>
    <x v="4"/>
    <x v="3"/>
    <x v="7"/>
    <x v="7"/>
    <x v="7"/>
    <x v="7"/>
    <x v="7"/>
  </r>
  <r>
    <x v="10"/>
    <s v="Art Walk Opening"/>
    <x v="8"/>
    <x v="6"/>
    <x v="6"/>
    <x v="10"/>
    <x v="3"/>
    <x v="3"/>
    <x v="3"/>
    <x v="8"/>
    <x v="7"/>
    <x v="6"/>
    <x v="8"/>
    <x v="8"/>
    <x v="8"/>
    <x v="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B63B2-413A-4A6A-8B42-79A2A3CC9817}" name="PivotTable18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9:AI52" firstHeaderRow="1" firstDataRow="4" firstDataCol="0"/>
  <pivotFields count="19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axis="axisCol" showAll="0">
      <items count="8">
        <item x="6"/>
        <item x="1"/>
        <item x="2"/>
        <item x="4"/>
        <item x="5"/>
        <item x="3"/>
        <item x="0"/>
        <item t="default"/>
      </items>
    </pivotField>
    <pivotField axis="axisCol" showAll="0">
      <items count="8">
        <item x="6"/>
        <item x="1"/>
        <item x="2"/>
        <item x="4"/>
        <item x="5"/>
        <item x="3"/>
        <item x="0"/>
        <item t="default"/>
      </items>
    </pivotField>
    <pivotField numFmtId="14" showAll="0">
      <items count="12">
        <item x="0"/>
        <item x="9"/>
        <item x="4"/>
        <item x="2"/>
        <item x="5"/>
        <item x="10"/>
        <item x="6"/>
        <item x="3"/>
        <item x="7"/>
        <item x="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3">
    <field x="0"/>
    <field x="3"/>
    <field x="4"/>
  </colFields>
  <colItems count="34">
    <i>
      <x/>
      <x v="6"/>
      <x v="6"/>
    </i>
    <i t="default" r="1">
      <x v="6"/>
    </i>
    <i t="default">
      <x/>
    </i>
    <i>
      <x v="1"/>
      <x v="6"/>
      <x v="6"/>
    </i>
    <i t="default" r="1">
      <x v="6"/>
    </i>
    <i t="default">
      <x v="1"/>
    </i>
    <i>
      <x v="2"/>
      <x v="1"/>
      <x v="1"/>
    </i>
    <i t="default" r="1">
      <x v="1"/>
    </i>
    <i t="default">
      <x v="2"/>
    </i>
    <i>
      <x v="3"/>
      <x v="2"/>
      <x v="2"/>
    </i>
    <i t="default" r="1">
      <x v="2"/>
    </i>
    <i t="default">
      <x v="3"/>
    </i>
    <i>
      <x v="4"/>
      <x v="5"/>
      <x v="5"/>
    </i>
    <i t="default" r="1">
      <x v="5"/>
    </i>
    <i t="default">
      <x v="4"/>
    </i>
    <i>
      <x v="5"/>
      <x v="3"/>
      <x v="3"/>
    </i>
    <i t="default" r="1">
      <x v="3"/>
    </i>
    <i t="default">
      <x v="5"/>
    </i>
    <i>
      <x v="6"/>
      <x v="4"/>
      <x v="4"/>
    </i>
    <i t="default" r="1">
      <x v="4"/>
    </i>
    <i t="default">
      <x v="6"/>
    </i>
    <i>
      <x v="7"/>
      <x v="2"/>
      <x v="2"/>
    </i>
    <i t="default" r="1">
      <x v="2"/>
    </i>
    <i t="default">
      <x v="7"/>
    </i>
    <i>
      <x v="8"/>
      <x v="6"/>
      <x v="6"/>
    </i>
    <i t="default" r="1">
      <x v="6"/>
    </i>
    <i t="default">
      <x v="8"/>
    </i>
    <i>
      <x v="9"/>
      <x v="1"/>
      <x v="1"/>
    </i>
    <i t="default" r="1">
      <x v="1"/>
    </i>
    <i t="default">
      <x v="9"/>
    </i>
    <i>
      <x v="10"/>
      <x/>
      <x/>
    </i>
    <i t="default" r="1">
      <x/>
    </i>
    <i t="default">
      <x v="10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E9415-E1E0-4951-A0F6-37B0F57FC795}" name="PivotTable17" cacheId="6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17:B45" firstHeaderRow="1" firstDataRow="1" firstDataCol="1"/>
  <pivotFields count="19">
    <pivotField showAll="0"/>
    <pivotField showAll="0"/>
    <pivotField axis="axisRow" showAll="0">
      <items count="10">
        <item x="4"/>
        <item x="7"/>
        <item x="3"/>
        <item x="8"/>
        <item x="6"/>
        <item x="5"/>
        <item x="1"/>
        <item x="0"/>
        <item x="2"/>
        <item t="default"/>
      </items>
    </pivotField>
    <pivotField showAll="0"/>
    <pivotField showAll="0"/>
    <pivotField numFmtId="14" showAll="0">
      <items count="12">
        <item x="0"/>
        <item x="9"/>
        <item x="4"/>
        <item x="2"/>
        <item x="5"/>
        <item x="10"/>
        <item x="6"/>
        <item x="3"/>
        <item x="7"/>
        <item x="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7"/>
        <item x="3"/>
        <item x="8"/>
        <item x="6"/>
        <item x="2"/>
        <item x="5"/>
        <item x="1"/>
        <item x="0"/>
        <item t="default"/>
      </items>
    </pivotField>
    <pivotField axis="axisRow" showAll="0">
      <items count="10">
        <item x="8"/>
        <item x="2"/>
        <item x="6"/>
        <item x="1"/>
        <item x="0"/>
        <item x="7"/>
        <item x="3"/>
        <item x="5"/>
        <item x="4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3">
    <field x="13"/>
    <field x="14"/>
    <field x="2"/>
  </rowFields>
  <rowItems count="28">
    <i>
      <x/>
    </i>
    <i r="1">
      <x v="8"/>
    </i>
    <i r="2">
      <x/>
    </i>
    <i>
      <x v="1"/>
    </i>
    <i r="1">
      <x v="5"/>
    </i>
    <i r="2">
      <x v="1"/>
    </i>
    <i>
      <x v="2"/>
    </i>
    <i r="1">
      <x v="6"/>
    </i>
    <i r="2">
      <x v="2"/>
    </i>
    <i>
      <x v="3"/>
    </i>
    <i r="1">
      <x/>
    </i>
    <i r="2">
      <x v="3"/>
    </i>
    <i>
      <x v="4"/>
    </i>
    <i r="1">
      <x v="2"/>
    </i>
    <i r="2">
      <x v="4"/>
    </i>
    <i>
      <x v="5"/>
    </i>
    <i r="1">
      <x v="1"/>
    </i>
    <i r="2">
      <x v="8"/>
    </i>
    <i>
      <x v="6"/>
    </i>
    <i r="1">
      <x v="7"/>
    </i>
    <i r="2">
      <x v="5"/>
    </i>
    <i>
      <x v="7"/>
    </i>
    <i r="1">
      <x v="3"/>
    </i>
    <i r="2">
      <x v="6"/>
    </i>
    <i>
      <x v="8"/>
    </i>
    <i r="1">
      <x v="4"/>
    </i>
    <i r="2"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44B1F-3FA0-4271-AAEE-80D1E6EFF8A5}" name="PivotTable16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3:AT77" firstHeaderRow="1" firstDataRow="5" firstDataCol="0"/>
  <pivotFields count="19">
    <pivotField axis="axisCol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numFmtId="14" showAll="0">
      <items count="12">
        <item x="0"/>
        <item x="9"/>
        <item x="4"/>
        <item x="2"/>
        <item x="5"/>
        <item x="10"/>
        <item x="6"/>
        <item x="3"/>
        <item x="7"/>
        <item x="1"/>
        <item x="8"/>
        <item t="default"/>
      </items>
    </pivotField>
    <pivotField axis="axisCol" showAll="0">
      <items count="7">
        <item x="4"/>
        <item x="3"/>
        <item x="5"/>
        <item x="0"/>
        <item x="2"/>
        <item x="1"/>
        <item t="default"/>
      </items>
    </pivotField>
    <pivotField axis="axisCol" showAll="0">
      <items count="7">
        <item x="0"/>
        <item x="5"/>
        <item x="4"/>
        <item x="2"/>
        <item x="3"/>
        <item x="1"/>
        <item t="default"/>
      </items>
    </pivotField>
    <pivotField axis="axisCol" showAll="0">
      <items count="7">
        <item x="4"/>
        <item x="3"/>
        <item x="5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4">
    <field x="0"/>
    <field x="6"/>
    <field x="7"/>
    <field x="8"/>
  </colFields>
  <colItems count="45">
    <i>
      <x/>
      <x v="3"/>
      <x/>
      <x v="3"/>
    </i>
    <i t="default" r="2">
      <x/>
    </i>
    <i t="default" r="1">
      <x v="3"/>
    </i>
    <i t="default">
      <x/>
    </i>
    <i>
      <x v="1"/>
      <x v="5"/>
      <x v="5"/>
      <x v="5"/>
    </i>
    <i t="default" r="2">
      <x v="5"/>
    </i>
    <i t="default" r="1">
      <x v="5"/>
    </i>
    <i t="default">
      <x v="1"/>
    </i>
    <i>
      <x v="2"/>
      <x v="4"/>
      <x v="3"/>
      <x v="4"/>
    </i>
    <i t="default" r="2">
      <x v="3"/>
    </i>
    <i t="default" r="1">
      <x v="4"/>
    </i>
    <i t="default">
      <x v="2"/>
    </i>
    <i>
      <x v="3"/>
      <x v="5"/>
      <x v="5"/>
      <x v="5"/>
    </i>
    <i t="default" r="2">
      <x v="5"/>
    </i>
    <i t="default" r="1">
      <x v="5"/>
    </i>
    <i t="default">
      <x v="3"/>
    </i>
    <i>
      <x v="4"/>
      <x v="1"/>
      <x v="4"/>
      <x v="1"/>
    </i>
    <i t="default" r="2">
      <x v="4"/>
    </i>
    <i t="default" r="1">
      <x v="1"/>
    </i>
    <i t="default">
      <x v="4"/>
    </i>
    <i>
      <x v="5"/>
      <x/>
      <x v="2"/>
      <x/>
    </i>
    <i t="default" r="2">
      <x v="2"/>
    </i>
    <i t="default" r="1">
      <x/>
    </i>
    <i t="default">
      <x v="5"/>
    </i>
    <i>
      <x v="6"/>
      <x v="4"/>
      <x v="3"/>
      <x v="4"/>
    </i>
    <i t="default" r="2">
      <x v="3"/>
    </i>
    <i t="default" r="1">
      <x v="4"/>
    </i>
    <i t="default">
      <x v="6"/>
    </i>
    <i>
      <x v="7"/>
      <x v="2"/>
      <x v="1"/>
      <x v="2"/>
    </i>
    <i t="default" r="2">
      <x v="1"/>
    </i>
    <i t="default" r="1">
      <x v="2"/>
    </i>
    <i t="default">
      <x v="7"/>
    </i>
    <i>
      <x v="8"/>
      <x v="5"/>
      <x v="5"/>
      <x v="5"/>
    </i>
    <i t="default" r="2">
      <x v="5"/>
    </i>
    <i t="default" r="1">
      <x v="5"/>
    </i>
    <i t="default">
      <x v="8"/>
    </i>
    <i>
      <x v="9"/>
      <x v="4"/>
      <x v="3"/>
      <x v="4"/>
    </i>
    <i t="default" r="2">
      <x v="3"/>
    </i>
    <i t="default" r="1">
      <x v="4"/>
    </i>
    <i t="default">
      <x v="9"/>
    </i>
    <i>
      <x v="10"/>
      <x v="1"/>
      <x v="4"/>
      <x v="1"/>
    </i>
    <i t="default" r="2">
      <x v="4"/>
    </i>
    <i t="default" r="1">
      <x v="1"/>
    </i>
    <i t="default">
      <x v="10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C357F-6D96-490F-88B9-F03995C68D26}" name="PivotTable14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6:AS61" firstHeaderRow="1" firstDataRow="6" firstDataCol="0"/>
  <pivotFields count="19">
    <pivotField showAll="0"/>
    <pivotField showAll="0"/>
    <pivotField showAll="0"/>
    <pivotField showAll="0"/>
    <pivotField showAll="0"/>
    <pivotField numFmtId="14" showAll="0">
      <items count="12">
        <item x="0"/>
        <item x="9"/>
        <item x="4"/>
        <item x="2"/>
        <item x="5"/>
        <item x="10"/>
        <item x="6"/>
        <item x="3"/>
        <item x="7"/>
        <item x="1"/>
        <item x="8"/>
        <item t="default"/>
      </items>
    </pivotField>
    <pivotField showAll="0"/>
    <pivotField showAll="0"/>
    <pivotField showAll="0"/>
    <pivotField axis="axisCol" showAll="0">
      <items count="10">
        <item x="3"/>
        <item x="7"/>
        <item x="0"/>
        <item x="5"/>
        <item x="1"/>
        <item x="4"/>
        <item x="6"/>
        <item x="2"/>
        <item x="8"/>
        <item t="default"/>
      </items>
    </pivotField>
    <pivotField axis="axisCol" showAll="0">
      <items count="9">
        <item x="1"/>
        <item x="3"/>
        <item x="6"/>
        <item x="0"/>
        <item x="7"/>
        <item x="4"/>
        <item x="5"/>
        <item x="2"/>
        <item t="default"/>
      </items>
    </pivotField>
    <pivotField axis="axisCol" showAll="0">
      <items count="8">
        <item x="0"/>
        <item x="6"/>
        <item x="2"/>
        <item x="5"/>
        <item x="3"/>
        <item x="4"/>
        <item x="1"/>
        <item t="default"/>
      </items>
    </pivotField>
    <pivotField axis="axisCol" showAll="0">
      <items count="10">
        <item x="4"/>
        <item x="7"/>
        <item x="8"/>
        <item x="6"/>
        <item x="3"/>
        <item x="1"/>
        <item x="0"/>
        <item x="2"/>
        <item x="5"/>
        <item t="default"/>
      </items>
    </pivotField>
    <pivotField axis="axisCol" showAll="0">
      <items count="10">
        <item x="4"/>
        <item x="7"/>
        <item x="3"/>
        <item x="8"/>
        <item x="6"/>
        <item x="2"/>
        <item x="5"/>
        <item x="1"/>
        <item x="0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5">
    <field x="10"/>
    <field x="11"/>
    <field x="9"/>
    <field x="12"/>
    <field x="13"/>
  </colFields>
  <colItems count="44">
    <i>
      <x/>
      <x v="6"/>
      <x v="4"/>
      <x v="5"/>
      <x v="7"/>
    </i>
    <i t="default" r="3">
      <x v="5"/>
    </i>
    <i t="default" r="2">
      <x v="4"/>
    </i>
    <i t="default" r="1">
      <x v="6"/>
    </i>
    <i t="default">
      <x/>
    </i>
    <i>
      <x v="1"/>
      <x v="2"/>
      <x/>
      <x v="4"/>
      <x v="2"/>
    </i>
    <i t="default" r="3">
      <x v="4"/>
    </i>
    <i t="default" r="2">
      <x/>
    </i>
    <i t="default" r="1">
      <x v="2"/>
    </i>
    <i t="default">
      <x v="1"/>
    </i>
    <i>
      <x v="2"/>
      <x v="3"/>
      <x v="6"/>
      <x v="3"/>
      <x v="4"/>
    </i>
    <i t="default" r="3">
      <x v="3"/>
    </i>
    <i t="default" r="2">
      <x v="6"/>
    </i>
    <i t="default" r="1">
      <x v="3"/>
    </i>
    <i t="default">
      <x v="2"/>
    </i>
    <i>
      <x v="3"/>
      <x/>
      <x v="2"/>
      <x v="6"/>
      <x v="8"/>
    </i>
    <i t="default" r="3">
      <x v="6"/>
    </i>
    <i t="default" r="2">
      <x v="2"/>
    </i>
    <i t="default" r="1">
      <x/>
    </i>
    <i t="default">
      <x v="3"/>
    </i>
    <i>
      <x v="4"/>
      <x v="1"/>
      <x v="8"/>
      <x v="2"/>
      <x v="3"/>
    </i>
    <i t="default" r="3">
      <x v="2"/>
    </i>
    <i t="default" r="2">
      <x v="8"/>
    </i>
    <i t="default" r="1">
      <x v="1"/>
    </i>
    <i t="default">
      <x v="4"/>
    </i>
    <i>
      <x v="5"/>
      <x v="4"/>
      <x v="1"/>
      <x v="1"/>
      <x v="1"/>
    </i>
    <i t="default" r="3">
      <x v="1"/>
    </i>
    <i t="default" r="2">
      <x v="1"/>
    </i>
    <i r="2">
      <x v="5"/>
      <x/>
      <x/>
    </i>
    <i t="default" r="3">
      <x/>
    </i>
    <i t="default" r="2">
      <x v="5"/>
    </i>
    <i t="default" r="1">
      <x v="4"/>
    </i>
    <i t="default">
      <x v="5"/>
    </i>
    <i>
      <x v="6"/>
      <x v="5"/>
      <x v="3"/>
      <x v="8"/>
      <x v="6"/>
    </i>
    <i t="default" r="3">
      <x v="8"/>
    </i>
    <i t="default" r="2">
      <x v="3"/>
    </i>
    <i t="default" r="1">
      <x v="5"/>
    </i>
    <i t="default">
      <x v="6"/>
    </i>
    <i>
      <x v="7"/>
      <x/>
      <x v="7"/>
      <x v="7"/>
      <x v="5"/>
    </i>
    <i t="default" r="3">
      <x v="7"/>
    </i>
    <i t="default" r="2">
      <x v="7"/>
    </i>
    <i t="default" r="1">
      <x/>
    </i>
    <i t="default">
      <x v="7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390616-5330-405B-9DBB-709C5BC4D691}" name="tblEvents" displayName="tblEvents" ref="A99:F110" totalsRowShown="0">
  <autoFilter ref="A99:F110" xr:uid="{F1390616-5330-405B-9DBB-709C5BC4D691}"/>
  <tableColumns count="6">
    <tableColumn id="1" xr3:uid="{420D12AA-1EE8-42CA-B81E-0A9FE0F4A0CA}" name="Event ID" dataDxfId="5"/>
    <tableColumn id="2" xr3:uid="{4ECAF7FB-6D61-40C8-870D-8EE379EEBFDA}" name="Event Name"/>
    <tableColumn id="3" xr3:uid="{82F0FDA5-564E-4FAE-9092-65EF10976CDC}" name="Event Date" dataDxfId="1"/>
    <tableColumn id="4" xr3:uid="{66E833B3-3FEB-4B66-BB05-2651F5300EDC}" name="Venue ID"/>
    <tableColumn id="5" xr3:uid="{67237E46-1798-496D-930A-1FCFE219CFCF}" name="Category Code"/>
    <tableColumn id="6" xr3:uid="{10CB65DC-2AD0-489B-9452-37F31573FC6B}" name="Employee #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B560E8-CA59-4700-87F5-3EA16D5B1BFC}" name="tblVenues" displayName="tblVenues" ref="H99:P108" totalsRowShown="0">
  <autoFilter ref="H99:P108" xr:uid="{6AB560E8-CA59-4700-87F5-3EA16D5B1BFC}"/>
  <tableColumns count="9">
    <tableColumn id="1" xr3:uid="{3A54B943-EAFA-4A72-A181-6051051CEF0E}" name="Venue ID" dataDxfId="4"/>
    <tableColumn id="2" xr3:uid="{1108C831-7211-4D92-BF2E-629714153CA2}" name="Venue Name"/>
    <tableColumn id="3" xr3:uid="{1AAF0FFC-B953-4960-9287-9E62725FA1B7}" name="Address"/>
    <tableColumn id="4" xr3:uid="{5FF15322-1282-4B72-99D2-DD64A950268B}" name="City"/>
    <tableColumn id="5" xr3:uid="{73E14D4E-91E9-4355-801F-DA0A9C019261}" name="State"/>
    <tableColumn id="6" xr3:uid="{465AF727-1ED3-4DD8-A24A-A7E0FEDC2D7B}" name="ZIP Code" dataDxfId="0"/>
    <tableColumn id="7" xr3:uid="{BF3E1B91-9D60-4453-80E0-5F3A1933E25B}" name="Contact Name"/>
    <tableColumn id="8" xr3:uid="{3A46F687-BF1D-42B4-AAB3-626EDC9A27F7}" name="Contact Email"/>
    <tableColumn id="9" xr3:uid="{516AF048-FFD5-4AB0-A111-FB828F2AD58E}" name="Contact Ph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68B120-785E-4D8C-B2D9-40221781D509}" name="tblCategories" displayName="tblCategories" ref="R99:S106" totalsRowShown="0">
  <autoFilter ref="R99:S106" xr:uid="{BD68B120-785E-4D8C-B2D9-40221781D509}"/>
  <tableColumns count="2">
    <tableColumn id="1" xr3:uid="{AF6B941E-9569-4CD0-AC52-62E9B0F66F75}" name="Category Code" dataDxfId="3"/>
    <tableColumn id="2" xr3:uid="{7FC5FD1B-09B2-481E-ABE7-24B9C931E12D}" name="Category 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741E1D-316D-4AC3-A41B-2A9FAC119B87}" name="tblManagers" displayName="tblManagers" ref="U99:W105" totalsRowShown="0">
  <autoFilter ref="U99:W105" xr:uid="{04741E1D-316D-4AC3-A41B-2A9FAC119B87}"/>
  <tableColumns count="3">
    <tableColumn id="1" xr3:uid="{3DA783C1-5137-433C-9463-D7F3D930B4FB}" name="Employee #" dataDxfId="2"/>
    <tableColumn id="2" xr3:uid="{838AC6C2-6FF9-4718-B21D-7B0E25FD5B89}" name="Manager Name"/>
    <tableColumn id="3" xr3:uid="{5CC14D44-3080-4224-9B45-0DDE11E6722B}" name="Manager 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AT119"/>
  <sheetViews>
    <sheetView tabSelected="1" topLeftCell="A81" workbookViewId="0">
      <selection activeCell="B92" sqref="B92:H92"/>
    </sheetView>
  </sheetViews>
  <sheetFormatPr defaultRowHeight="14.4" x14ac:dyDescent="0.3"/>
  <cols>
    <col min="1" max="1" width="13.33203125" customWidth="1"/>
    <col min="2" max="2" width="30.5546875" customWidth="1"/>
    <col min="3" max="3" width="17" customWidth="1"/>
    <col min="4" max="6" width="18.5546875" customWidth="1"/>
    <col min="7" max="7" width="10.44140625" bestFit="1" customWidth="1"/>
    <col min="8" max="8" width="19.44140625" customWidth="1"/>
    <col min="9" max="9" width="28.6640625" customWidth="1"/>
    <col min="10" max="10" width="32.44140625" customWidth="1"/>
    <col min="11" max="11" width="18.5546875" customWidth="1"/>
    <col min="12" max="12" width="10.21875" customWidth="1"/>
    <col min="13" max="13" width="13.33203125" customWidth="1"/>
    <col min="14" max="14" width="23.109375" customWidth="1"/>
    <col min="15" max="15" width="34.21875" customWidth="1"/>
    <col min="16" max="16" width="20.33203125" customWidth="1"/>
    <col min="17" max="17" width="8.44140625" bestFit="1" customWidth="1"/>
    <col min="18" max="19" width="19.44140625" customWidth="1"/>
    <col min="20" max="20" width="18.77734375" bestFit="1" customWidth="1"/>
    <col min="21" max="21" width="16.6640625" customWidth="1"/>
    <col min="22" max="22" width="25" customWidth="1"/>
    <col min="23" max="23" width="38" customWidth="1"/>
    <col min="24" max="24" width="14.44140625" bestFit="1" customWidth="1"/>
    <col min="25" max="25" width="8.44140625" bestFit="1" customWidth="1"/>
    <col min="26" max="26" width="26.33203125" bestFit="1" customWidth="1"/>
    <col min="27" max="27" width="10.44140625" bestFit="1" customWidth="1"/>
    <col min="28" max="28" width="14.109375" bestFit="1" customWidth="1"/>
    <col min="29" max="29" width="8.44140625" bestFit="1" customWidth="1"/>
    <col min="30" max="30" width="26.77734375" bestFit="1" customWidth="1"/>
    <col min="31" max="31" width="10.44140625" bestFit="1" customWidth="1"/>
    <col min="32" max="32" width="15" bestFit="1" customWidth="1"/>
    <col min="33" max="33" width="8.44140625" bestFit="1" customWidth="1"/>
    <col min="34" max="34" width="29.77734375" bestFit="1" customWidth="1"/>
    <col min="35" max="35" width="10.44140625" bestFit="1" customWidth="1"/>
    <col min="36" max="36" width="17.5546875" bestFit="1" customWidth="1"/>
    <col min="37" max="37" width="8.44140625" bestFit="1" customWidth="1"/>
    <col min="38" max="38" width="26.33203125" bestFit="1" customWidth="1"/>
    <col min="39" max="39" width="10.44140625" bestFit="1" customWidth="1"/>
    <col min="40" max="40" width="14.109375" bestFit="1" customWidth="1"/>
    <col min="41" max="41" width="8.44140625" bestFit="1" customWidth="1"/>
    <col min="42" max="42" width="30.5546875" bestFit="1" customWidth="1"/>
    <col min="43" max="43" width="10.44140625" bestFit="1" customWidth="1"/>
    <col min="44" max="44" width="18.77734375" bestFit="1" customWidth="1"/>
    <col min="45" max="45" width="8.44140625" bestFit="1" customWidth="1"/>
    <col min="46" max="46" width="10.5546875" bestFit="1" customWidth="1"/>
    <col min="47" max="47" width="26.33203125" bestFit="1" customWidth="1"/>
    <col min="48" max="48" width="10.44140625" bestFit="1" customWidth="1"/>
    <col min="49" max="49" width="8.5546875" bestFit="1" customWidth="1"/>
    <col min="50" max="50" width="14.109375" bestFit="1" customWidth="1"/>
    <col min="51" max="51" width="8.44140625" bestFit="1" customWidth="1"/>
    <col min="52" max="52" width="30.5546875" bestFit="1" customWidth="1"/>
    <col min="53" max="53" width="10.44140625" bestFit="1" customWidth="1"/>
    <col min="54" max="54" width="8.33203125" bestFit="1" customWidth="1"/>
    <col min="55" max="55" width="18.77734375" bestFit="1" customWidth="1"/>
    <col min="56" max="56" width="8.44140625" bestFit="1" customWidth="1"/>
    <col min="57" max="57" width="10.5546875" bestFit="1" customWidth="1"/>
    <col min="58" max="58" width="11.21875" bestFit="1" customWidth="1"/>
    <col min="59" max="59" width="8.5546875" bestFit="1" customWidth="1"/>
    <col min="60" max="60" width="14.109375" bestFit="1" customWidth="1"/>
    <col min="61" max="61" width="8.44140625" bestFit="1" customWidth="1"/>
    <col min="62" max="62" width="30.5546875" bestFit="1" customWidth="1"/>
    <col min="63" max="63" width="10.44140625" bestFit="1" customWidth="1"/>
    <col min="64" max="64" width="11" bestFit="1" customWidth="1"/>
    <col min="65" max="65" width="8.33203125" bestFit="1" customWidth="1"/>
    <col min="66" max="66" width="18.77734375" bestFit="1" customWidth="1"/>
    <col min="67" max="67" width="8.44140625" bestFit="1" customWidth="1"/>
    <col min="68" max="68" width="10.5546875" bestFit="1" customWidth="1"/>
    <col min="69" max="69" width="8.5546875" bestFit="1" customWidth="1"/>
    <col min="70" max="70" width="14.109375" bestFit="1" customWidth="1"/>
    <col min="71" max="71" width="8.44140625" bestFit="1" customWidth="1"/>
    <col min="72" max="72" width="30.5546875" bestFit="1" customWidth="1"/>
    <col min="73" max="73" width="10.44140625" bestFit="1" customWidth="1"/>
    <col min="74" max="74" width="13.88671875" bestFit="1" customWidth="1"/>
    <col min="75" max="75" width="11" bestFit="1" customWidth="1"/>
    <col min="76" max="76" width="8.33203125" bestFit="1" customWidth="1"/>
    <col min="77" max="77" width="18.77734375" bestFit="1" customWidth="1"/>
    <col min="78" max="78" width="8.44140625" bestFit="1" customWidth="1"/>
    <col min="79" max="79" width="10.55468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127</v>
      </c>
    </row>
    <row r="17" spans="2:2" x14ac:dyDescent="0.3">
      <c r="B17" s="5" t="s">
        <v>194</v>
      </c>
    </row>
    <row r="18" spans="2:2" x14ac:dyDescent="0.3">
      <c r="B18" s="7" t="s">
        <v>119</v>
      </c>
    </row>
    <row r="19" spans="2:2" x14ac:dyDescent="0.3">
      <c r="B19" s="8" t="s">
        <v>66</v>
      </c>
    </row>
    <row r="20" spans="2:2" x14ac:dyDescent="0.3">
      <c r="B20" s="9" t="s">
        <v>18</v>
      </c>
    </row>
    <row r="21" spans="2:2" x14ac:dyDescent="0.3">
      <c r="B21" s="7" t="s">
        <v>122</v>
      </c>
    </row>
    <row r="22" spans="2:2" x14ac:dyDescent="0.3">
      <c r="B22" s="8" t="s">
        <v>97</v>
      </c>
    </row>
    <row r="23" spans="2:2" x14ac:dyDescent="0.3">
      <c r="B23" s="9" t="s">
        <v>32</v>
      </c>
    </row>
    <row r="24" spans="2:2" x14ac:dyDescent="0.3">
      <c r="B24" s="7" t="s">
        <v>118</v>
      </c>
    </row>
    <row r="25" spans="2:2" x14ac:dyDescent="0.3">
      <c r="B25" s="8" t="s">
        <v>60</v>
      </c>
    </row>
    <row r="26" spans="2:2" x14ac:dyDescent="0.3">
      <c r="B26" s="9" t="s">
        <v>15</v>
      </c>
    </row>
    <row r="27" spans="2:2" x14ac:dyDescent="0.3">
      <c r="B27" s="7" t="s">
        <v>123</v>
      </c>
    </row>
    <row r="28" spans="2:2" x14ac:dyDescent="0.3">
      <c r="B28" s="8" t="s">
        <v>87</v>
      </c>
    </row>
    <row r="29" spans="2:2" x14ac:dyDescent="0.3">
      <c r="B29" s="9" t="s">
        <v>34</v>
      </c>
    </row>
    <row r="30" spans="2:2" x14ac:dyDescent="0.3">
      <c r="B30" s="7" t="s">
        <v>121</v>
      </c>
    </row>
    <row r="31" spans="2:2" x14ac:dyDescent="0.3">
      <c r="B31" s="8" t="s">
        <v>78</v>
      </c>
    </row>
    <row r="32" spans="2:2" x14ac:dyDescent="0.3">
      <c r="B32" s="9" t="s">
        <v>28</v>
      </c>
    </row>
    <row r="33" spans="1:2" x14ac:dyDescent="0.3">
      <c r="B33" s="7" t="s">
        <v>117</v>
      </c>
    </row>
    <row r="34" spans="1:2" x14ac:dyDescent="0.3">
      <c r="B34" s="8" t="s">
        <v>99</v>
      </c>
    </row>
    <row r="35" spans="1:2" x14ac:dyDescent="0.3">
      <c r="B35" s="9" t="s">
        <v>11</v>
      </c>
    </row>
    <row r="36" spans="1:2" x14ac:dyDescent="0.3">
      <c r="B36" s="7" t="s">
        <v>120</v>
      </c>
    </row>
    <row r="37" spans="1:2" x14ac:dyDescent="0.3">
      <c r="B37" s="8" t="s">
        <v>72</v>
      </c>
    </row>
    <row r="38" spans="1:2" x14ac:dyDescent="0.3">
      <c r="B38" s="9" t="s">
        <v>25</v>
      </c>
    </row>
    <row r="39" spans="1:2" x14ac:dyDescent="0.3">
      <c r="B39" s="7" t="s">
        <v>115</v>
      </c>
    </row>
    <row r="40" spans="1:2" x14ac:dyDescent="0.3">
      <c r="B40" s="8" t="s">
        <v>50</v>
      </c>
    </row>
    <row r="41" spans="1:2" x14ac:dyDescent="0.3">
      <c r="B41" s="9" t="s">
        <v>8</v>
      </c>
    </row>
    <row r="42" spans="1:2" x14ac:dyDescent="0.3">
      <c r="B42" s="7" t="s">
        <v>116</v>
      </c>
    </row>
    <row r="43" spans="1:2" x14ac:dyDescent="0.3">
      <c r="B43" s="8" t="s">
        <v>98</v>
      </c>
    </row>
    <row r="44" spans="1:2" x14ac:dyDescent="0.3">
      <c r="B44" s="9" t="s">
        <v>4</v>
      </c>
    </row>
    <row r="45" spans="1:2" x14ac:dyDescent="0.3">
      <c r="B45" s="7" t="s">
        <v>125</v>
      </c>
    </row>
    <row r="48" spans="1:2" x14ac:dyDescent="0.3">
      <c r="A48" s="4" t="s">
        <v>101</v>
      </c>
      <c r="B48" s="3" t="s">
        <v>128</v>
      </c>
    </row>
    <row r="49" spans="1:45" x14ac:dyDescent="0.3">
      <c r="B49" s="5" t="s">
        <v>126</v>
      </c>
      <c r="C49" s="5"/>
      <c r="D49" s="5"/>
    </row>
    <row r="50" spans="1:45" x14ac:dyDescent="0.3">
      <c r="B50">
        <v>102</v>
      </c>
      <c r="D50" t="s">
        <v>129</v>
      </c>
      <c r="E50">
        <v>103</v>
      </c>
      <c r="G50" t="s">
        <v>130</v>
      </c>
      <c r="H50">
        <v>104</v>
      </c>
      <c r="J50" t="s">
        <v>131</v>
      </c>
      <c r="K50">
        <v>105</v>
      </c>
      <c r="M50" t="s">
        <v>132</v>
      </c>
      <c r="N50">
        <v>106</v>
      </c>
      <c r="P50" t="s">
        <v>133</v>
      </c>
      <c r="Q50">
        <v>107</v>
      </c>
      <c r="S50" t="s">
        <v>134</v>
      </c>
      <c r="T50">
        <v>108</v>
      </c>
      <c r="V50" t="s">
        <v>135</v>
      </c>
      <c r="W50">
        <v>109</v>
      </c>
      <c r="Y50" t="s">
        <v>136</v>
      </c>
      <c r="Z50">
        <v>110</v>
      </c>
      <c r="AB50" t="s">
        <v>137</v>
      </c>
      <c r="AC50">
        <v>111</v>
      </c>
      <c r="AE50" t="s">
        <v>138</v>
      </c>
      <c r="AF50">
        <v>112</v>
      </c>
      <c r="AH50" t="s">
        <v>139</v>
      </c>
      <c r="AI50" t="s">
        <v>125</v>
      </c>
    </row>
    <row r="51" spans="1:45" x14ac:dyDescent="0.3">
      <c r="B51" t="s">
        <v>5</v>
      </c>
      <c r="C51" t="s">
        <v>140</v>
      </c>
      <c r="E51" t="s">
        <v>5</v>
      </c>
      <c r="F51" t="s">
        <v>140</v>
      </c>
      <c r="H51" t="s">
        <v>12</v>
      </c>
      <c r="I51" t="s">
        <v>141</v>
      </c>
      <c r="K51" t="s">
        <v>16</v>
      </c>
      <c r="L51" t="s">
        <v>142</v>
      </c>
      <c r="N51" t="s">
        <v>19</v>
      </c>
      <c r="O51" t="s">
        <v>143</v>
      </c>
      <c r="Q51" t="s">
        <v>22</v>
      </c>
      <c r="R51" t="s">
        <v>144</v>
      </c>
      <c r="T51" t="s">
        <v>26</v>
      </c>
      <c r="U51" t="s">
        <v>145</v>
      </c>
      <c r="W51" t="s">
        <v>16</v>
      </c>
      <c r="X51" t="s">
        <v>142</v>
      </c>
      <c r="Z51" t="s">
        <v>5</v>
      </c>
      <c r="AA51" t="s">
        <v>140</v>
      </c>
      <c r="AC51" t="s">
        <v>12</v>
      </c>
      <c r="AD51" t="s">
        <v>141</v>
      </c>
      <c r="AF51" t="s">
        <v>35</v>
      </c>
      <c r="AG51" t="s">
        <v>146</v>
      </c>
    </row>
    <row r="52" spans="1:45" x14ac:dyDescent="0.3">
      <c r="B52">
        <v>7</v>
      </c>
      <c r="E52">
        <v>7</v>
      </c>
      <c r="H52">
        <v>2</v>
      </c>
      <c r="K52">
        <v>3</v>
      </c>
      <c r="N52">
        <v>6</v>
      </c>
      <c r="Q52">
        <v>4</v>
      </c>
      <c r="T52">
        <v>5</v>
      </c>
      <c r="W52">
        <v>3</v>
      </c>
      <c r="Z52">
        <v>7</v>
      </c>
      <c r="AC52">
        <v>2</v>
      </c>
      <c r="AF52">
        <v>1</v>
      </c>
    </row>
    <row r="55" spans="1:45" x14ac:dyDescent="0.3">
      <c r="A55" s="4" t="s">
        <v>102</v>
      </c>
      <c r="B55" s="3" t="s">
        <v>147</v>
      </c>
    </row>
    <row r="56" spans="1:45" x14ac:dyDescent="0.3">
      <c r="B56" s="5" t="s">
        <v>126</v>
      </c>
    </row>
    <row r="57" spans="1:45" x14ac:dyDescent="0.3">
      <c r="B57" t="s">
        <v>48</v>
      </c>
      <c r="F57" t="s">
        <v>148</v>
      </c>
      <c r="G57" t="s">
        <v>58</v>
      </c>
      <c r="K57" t="s">
        <v>149</v>
      </c>
      <c r="L57" t="s">
        <v>76</v>
      </c>
      <c r="P57" t="s">
        <v>150</v>
      </c>
      <c r="Q57" t="s">
        <v>43</v>
      </c>
      <c r="U57" t="s">
        <v>151</v>
      </c>
      <c r="V57" t="s">
        <v>85</v>
      </c>
      <c r="Z57" t="s">
        <v>152</v>
      </c>
      <c r="AA57" t="s">
        <v>64</v>
      </c>
      <c r="AH57" t="s">
        <v>153</v>
      </c>
      <c r="AI57" t="s">
        <v>70</v>
      </c>
      <c r="AM57" t="s">
        <v>154</v>
      </c>
      <c r="AN57" t="s">
        <v>54</v>
      </c>
      <c r="AR57" t="s">
        <v>155</v>
      </c>
      <c r="AS57" t="s">
        <v>125</v>
      </c>
    </row>
    <row r="58" spans="1:45" x14ac:dyDescent="0.3">
      <c r="B58" t="s">
        <v>49</v>
      </c>
      <c r="E58" t="s">
        <v>156</v>
      </c>
      <c r="G58" t="s">
        <v>59</v>
      </c>
      <c r="J58" t="s">
        <v>157</v>
      </c>
      <c r="L58" t="s">
        <v>77</v>
      </c>
      <c r="O58" t="s">
        <v>158</v>
      </c>
      <c r="Q58" t="s">
        <v>44</v>
      </c>
      <c r="T58" t="s">
        <v>159</v>
      </c>
      <c r="V58" t="s">
        <v>86</v>
      </c>
      <c r="Y58" t="s">
        <v>160</v>
      </c>
      <c r="AA58" t="s">
        <v>65</v>
      </c>
      <c r="AG58" t="s">
        <v>161</v>
      </c>
      <c r="AI58" t="s">
        <v>71</v>
      </c>
      <c r="AL58" t="s">
        <v>162</v>
      </c>
      <c r="AN58" t="s">
        <v>44</v>
      </c>
      <c r="AQ58" t="s">
        <v>159</v>
      </c>
    </row>
    <row r="59" spans="1:45" x14ac:dyDescent="0.3">
      <c r="B59" t="s">
        <v>47</v>
      </c>
      <c r="D59" t="s">
        <v>163</v>
      </c>
      <c r="G59" t="s">
        <v>57</v>
      </c>
      <c r="I59" t="s">
        <v>164</v>
      </c>
      <c r="L59" t="s">
        <v>75</v>
      </c>
      <c r="N59" t="s">
        <v>165</v>
      </c>
      <c r="Q59" t="s">
        <v>42</v>
      </c>
      <c r="S59" t="s">
        <v>166</v>
      </c>
      <c r="V59" t="s">
        <v>84</v>
      </c>
      <c r="X59" t="s">
        <v>167</v>
      </c>
      <c r="AA59" t="s">
        <v>81</v>
      </c>
      <c r="AC59" t="s">
        <v>168</v>
      </c>
      <c r="AD59" t="s">
        <v>63</v>
      </c>
      <c r="AF59" t="s">
        <v>169</v>
      </c>
      <c r="AI59" t="s">
        <v>69</v>
      </c>
      <c r="AK59" t="s">
        <v>170</v>
      </c>
      <c r="AN59" t="s">
        <v>53</v>
      </c>
      <c r="AP59" t="s">
        <v>171</v>
      </c>
    </row>
    <row r="60" spans="1:45" x14ac:dyDescent="0.3">
      <c r="B60">
        <v>78741</v>
      </c>
      <c r="C60" t="s">
        <v>172</v>
      </c>
      <c r="G60">
        <v>60616</v>
      </c>
      <c r="H60" t="s">
        <v>173</v>
      </c>
      <c r="L60">
        <v>48226</v>
      </c>
      <c r="M60" t="s">
        <v>174</v>
      </c>
      <c r="Q60">
        <v>90026</v>
      </c>
      <c r="R60" t="s">
        <v>175</v>
      </c>
      <c r="V60">
        <v>33132</v>
      </c>
      <c r="W60" t="s">
        <v>176</v>
      </c>
      <c r="AA60">
        <v>10012</v>
      </c>
      <c r="AB60" t="s">
        <v>177</v>
      </c>
      <c r="AD60">
        <v>10011</v>
      </c>
      <c r="AE60" t="s">
        <v>178</v>
      </c>
      <c r="AI60">
        <v>97214</v>
      </c>
      <c r="AJ60" t="s">
        <v>179</v>
      </c>
      <c r="AN60">
        <v>90046</v>
      </c>
      <c r="AO60" t="s">
        <v>180</v>
      </c>
    </row>
    <row r="61" spans="1:45" x14ac:dyDescent="0.3">
      <c r="B61" t="s">
        <v>115</v>
      </c>
      <c r="G61" t="s">
        <v>118</v>
      </c>
      <c r="L61" t="s">
        <v>121</v>
      </c>
      <c r="Q61" t="s">
        <v>116</v>
      </c>
      <c r="V61" t="s">
        <v>123</v>
      </c>
      <c r="AA61" t="s">
        <v>122</v>
      </c>
      <c r="AD61" t="s">
        <v>119</v>
      </c>
      <c r="AI61" t="s">
        <v>120</v>
      </c>
      <c r="AN61" t="s">
        <v>117</v>
      </c>
    </row>
    <row r="72" spans="1:46" x14ac:dyDescent="0.3">
      <c r="A72" s="4" t="s">
        <v>181</v>
      </c>
      <c r="B72" s="3" t="s">
        <v>105</v>
      </c>
    </row>
    <row r="73" spans="1:46" x14ac:dyDescent="0.3">
      <c r="B73" s="5" t="s">
        <v>126</v>
      </c>
    </row>
    <row r="74" spans="1:46" x14ac:dyDescent="0.3">
      <c r="B74">
        <v>102</v>
      </c>
      <c r="E74" t="s">
        <v>129</v>
      </c>
      <c r="F74">
        <v>103</v>
      </c>
      <c r="I74" t="s">
        <v>130</v>
      </c>
      <c r="J74">
        <v>104</v>
      </c>
      <c r="M74" t="s">
        <v>131</v>
      </c>
      <c r="N74">
        <v>105</v>
      </c>
      <c r="Q74" t="s">
        <v>132</v>
      </c>
      <c r="R74">
        <v>106</v>
      </c>
      <c r="U74" t="s">
        <v>133</v>
      </c>
      <c r="V74">
        <v>107</v>
      </c>
      <c r="Y74" t="s">
        <v>134</v>
      </c>
      <c r="Z74">
        <v>108</v>
      </c>
      <c r="AC74" t="s">
        <v>135</v>
      </c>
      <c r="AD74">
        <v>109</v>
      </c>
      <c r="AG74" t="s">
        <v>136</v>
      </c>
      <c r="AH74">
        <v>110</v>
      </c>
      <c r="AK74" t="s">
        <v>137</v>
      </c>
      <c r="AL74">
        <v>111</v>
      </c>
      <c r="AO74" t="s">
        <v>138</v>
      </c>
      <c r="AP74">
        <v>112</v>
      </c>
      <c r="AS74" t="s">
        <v>139</v>
      </c>
      <c r="AT74" t="s">
        <v>125</v>
      </c>
    </row>
    <row r="75" spans="1:46" x14ac:dyDescent="0.3">
      <c r="B75" t="s">
        <v>6</v>
      </c>
      <c r="D75" t="s">
        <v>188</v>
      </c>
      <c r="F75" t="s">
        <v>9</v>
      </c>
      <c r="H75" t="s">
        <v>189</v>
      </c>
      <c r="J75" t="s">
        <v>13</v>
      </c>
      <c r="L75" t="s">
        <v>190</v>
      </c>
      <c r="N75" t="s">
        <v>9</v>
      </c>
      <c r="P75" t="s">
        <v>189</v>
      </c>
      <c r="R75" t="s">
        <v>20</v>
      </c>
      <c r="T75" t="s">
        <v>191</v>
      </c>
      <c r="V75" t="s">
        <v>23</v>
      </c>
      <c r="X75" t="s">
        <v>192</v>
      </c>
      <c r="Z75" t="s">
        <v>13</v>
      </c>
      <c r="AB75" t="s">
        <v>190</v>
      </c>
      <c r="AD75" t="s">
        <v>29</v>
      </c>
      <c r="AF75" t="s">
        <v>193</v>
      </c>
      <c r="AH75" t="s">
        <v>9</v>
      </c>
      <c r="AJ75" t="s">
        <v>189</v>
      </c>
      <c r="AL75" t="s">
        <v>13</v>
      </c>
      <c r="AN75" t="s">
        <v>190</v>
      </c>
      <c r="AP75" t="s">
        <v>20</v>
      </c>
      <c r="AR75" t="s">
        <v>191</v>
      </c>
    </row>
    <row r="76" spans="1:46" x14ac:dyDescent="0.3">
      <c r="B76" t="s">
        <v>108</v>
      </c>
      <c r="C76" t="s">
        <v>185</v>
      </c>
      <c r="F76" t="s">
        <v>109</v>
      </c>
      <c r="G76" t="s">
        <v>187</v>
      </c>
      <c r="J76" t="s">
        <v>110</v>
      </c>
      <c r="K76" t="s">
        <v>186</v>
      </c>
      <c r="N76" t="s">
        <v>109</v>
      </c>
      <c r="O76" t="s">
        <v>187</v>
      </c>
      <c r="R76" t="s">
        <v>124</v>
      </c>
      <c r="S76" t="s">
        <v>183</v>
      </c>
      <c r="V76" t="s">
        <v>111</v>
      </c>
      <c r="W76" t="s">
        <v>182</v>
      </c>
      <c r="Z76" t="s">
        <v>110</v>
      </c>
      <c r="AA76" t="s">
        <v>186</v>
      </c>
      <c r="AD76" t="s">
        <v>112</v>
      </c>
      <c r="AE76" t="s">
        <v>184</v>
      </c>
      <c r="AH76" t="s">
        <v>109</v>
      </c>
      <c r="AI76" t="s">
        <v>187</v>
      </c>
      <c r="AL76" t="s">
        <v>110</v>
      </c>
      <c r="AM76" t="s">
        <v>186</v>
      </c>
      <c r="AP76" t="s">
        <v>124</v>
      </c>
      <c r="AQ76" t="s">
        <v>183</v>
      </c>
    </row>
    <row r="77" spans="1:46" x14ac:dyDescent="0.3">
      <c r="B77" t="s">
        <v>36</v>
      </c>
      <c r="F77" t="s">
        <v>37</v>
      </c>
      <c r="J77" t="s">
        <v>38</v>
      </c>
      <c r="N77" t="s">
        <v>37</v>
      </c>
      <c r="R77" t="s">
        <v>39</v>
      </c>
      <c r="V77" t="s">
        <v>40</v>
      </c>
      <c r="Z77" t="s">
        <v>38</v>
      </c>
      <c r="AD77" t="s">
        <v>41</v>
      </c>
      <c r="AH77" t="s">
        <v>37</v>
      </c>
      <c r="AL77" t="s">
        <v>38</v>
      </c>
      <c r="AP77" t="s">
        <v>39</v>
      </c>
    </row>
    <row r="92" spans="1:23" x14ac:dyDescent="0.3">
      <c r="B92" s="6" t="s">
        <v>289</v>
      </c>
      <c r="C92" s="6"/>
      <c r="D92" s="6"/>
      <c r="E92" s="6"/>
      <c r="F92" s="6"/>
      <c r="G92" s="6"/>
      <c r="H92" s="6"/>
    </row>
    <row r="93" spans="1:23" x14ac:dyDescent="0.3"/>
    <row r="96" spans="1:23" ht="19.8" x14ac:dyDescent="0.4">
      <c r="A96" s="14" t="s">
        <v>195</v>
      </c>
      <c r="B96" s="14"/>
      <c r="C96" s="14"/>
      <c r="D96" s="14"/>
      <c r="E96" s="14"/>
      <c r="F96" s="14"/>
      <c r="H96" s="14" t="s">
        <v>196</v>
      </c>
      <c r="I96" s="14"/>
      <c r="J96" s="14"/>
      <c r="K96" s="14"/>
      <c r="L96" s="14"/>
      <c r="M96" s="14"/>
      <c r="N96" s="14"/>
      <c r="O96" s="14"/>
      <c r="P96" s="14"/>
      <c r="R96" s="14" t="s">
        <v>205</v>
      </c>
      <c r="S96" s="14"/>
      <c r="U96" s="14" t="s">
        <v>207</v>
      </c>
      <c r="V96" s="14"/>
      <c r="W96" s="14"/>
    </row>
    <row r="97" spans="1:23" ht="34.049999999999997" customHeight="1" x14ac:dyDescent="0.3">
      <c r="A97" s="15" t="s">
        <v>273</v>
      </c>
      <c r="B97" s="15"/>
      <c r="C97" s="15"/>
      <c r="D97" s="15"/>
      <c r="E97" s="15"/>
      <c r="F97" s="15"/>
      <c r="H97" s="15" t="s">
        <v>274</v>
      </c>
      <c r="I97" s="15"/>
      <c r="J97" s="15"/>
      <c r="K97" s="15"/>
      <c r="L97" s="15"/>
      <c r="M97" s="15"/>
      <c r="N97" s="15"/>
      <c r="O97" s="15"/>
      <c r="P97" s="15"/>
      <c r="R97" s="15" t="s">
        <v>275</v>
      </c>
      <c r="S97" s="15"/>
      <c r="U97" s="15" t="s">
        <v>276</v>
      </c>
      <c r="V97" s="15"/>
      <c r="W97" s="15"/>
    </row>
    <row r="99" spans="1:23" x14ac:dyDescent="0.3">
      <c r="A99" s="16" t="s">
        <v>0</v>
      </c>
      <c r="B99" t="s">
        <v>1</v>
      </c>
      <c r="C99" t="s">
        <v>2</v>
      </c>
      <c r="D99" t="s">
        <v>114</v>
      </c>
      <c r="E99" t="s">
        <v>104</v>
      </c>
      <c r="F99" t="s">
        <v>107</v>
      </c>
      <c r="H99" s="16" t="s">
        <v>114</v>
      </c>
      <c r="I99" t="s">
        <v>197</v>
      </c>
      <c r="J99" t="s">
        <v>198</v>
      </c>
      <c r="K99" t="s">
        <v>199</v>
      </c>
      <c r="L99" t="s">
        <v>200</v>
      </c>
      <c r="M99" t="s">
        <v>201</v>
      </c>
      <c r="N99" t="s">
        <v>202</v>
      </c>
      <c r="O99" t="s">
        <v>203</v>
      </c>
      <c r="P99" t="s">
        <v>204</v>
      </c>
      <c r="R99" s="16" t="s">
        <v>104</v>
      </c>
      <c r="S99" t="s">
        <v>206</v>
      </c>
      <c r="U99" s="16" t="s">
        <v>107</v>
      </c>
      <c r="V99" t="s">
        <v>208</v>
      </c>
      <c r="W99" t="s">
        <v>209</v>
      </c>
    </row>
    <row r="100" spans="1:23" x14ac:dyDescent="0.3">
      <c r="A100" s="16">
        <v>102</v>
      </c>
      <c r="B100" t="s">
        <v>3</v>
      </c>
      <c r="C100" s="1">
        <v>46095</v>
      </c>
      <c r="D100" t="s">
        <v>116</v>
      </c>
      <c r="E100">
        <v>7</v>
      </c>
      <c r="F100" t="s">
        <v>108</v>
      </c>
      <c r="H100" s="16" t="s">
        <v>116</v>
      </c>
      <c r="I100" t="s">
        <v>4</v>
      </c>
      <c r="J100" t="s">
        <v>214</v>
      </c>
      <c r="K100" t="s">
        <v>215</v>
      </c>
      <c r="L100" t="s">
        <v>216</v>
      </c>
      <c r="M100" s="10">
        <v>90026</v>
      </c>
      <c r="N100" t="s">
        <v>217</v>
      </c>
      <c r="O100" t="s">
        <v>218</v>
      </c>
      <c r="P100" t="s">
        <v>219</v>
      </c>
      <c r="R100" s="16">
        <v>7</v>
      </c>
      <c r="S100" t="s">
        <v>5</v>
      </c>
      <c r="U100" s="16" t="s">
        <v>108</v>
      </c>
      <c r="V100" t="s">
        <v>6</v>
      </c>
      <c r="W100" t="s">
        <v>36</v>
      </c>
    </row>
    <row r="101" spans="1:23" x14ac:dyDescent="0.3">
      <c r="A101" s="16">
        <v>103</v>
      </c>
      <c r="B101" t="s">
        <v>7</v>
      </c>
      <c r="C101" s="1">
        <v>46194</v>
      </c>
      <c r="D101" t="s">
        <v>115</v>
      </c>
      <c r="E101">
        <v>7</v>
      </c>
      <c r="F101" t="s">
        <v>109</v>
      </c>
      <c r="H101" s="16" t="s">
        <v>115</v>
      </c>
      <c r="I101" t="s">
        <v>8</v>
      </c>
      <c r="J101" t="s">
        <v>220</v>
      </c>
      <c r="K101" t="s">
        <v>221</v>
      </c>
      <c r="L101" t="s">
        <v>222</v>
      </c>
      <c r="M101" s="10">
        <v>78741</v>
      </c>
      <c r="N101" t="s">
        <v>223</v>
      </c>
      <c r="O101" t="s">
        <v>224</v>
      </c>
      <c r="P101" t="s">
        <v>225</v>
      </c>
      <c r="R101" s="16">
        <v>2</v>
      </c>
      <c r="S101" t="s">
        <v>12</v>
      </c>
      <c r="U101" s="16" t="s">
        <v>109</v>
      </c>
      <c r="V101" t="s">
        <v>9</v>
      </c>
      <c r="W101" t="s">
        <v>37</v>
      </c>
    </row>
    <row r="102" spans="1:23" x14ac:dyDescent="0.3">
      <c r="A102" s="16">
        <v>104</v>
      </c>
      <c r="B102" t="s">
        <v>10</v>
      </c>
      <c r="C102" s="1">
        <v>46115</v>
      </c>
      <c r="D102" t="s">
        <v>117</v>
      </c>
      <c r="E102">
        <v>2</v>
      </c>
      <c r="F102" t="s">
        <v>110</v>
      </c>
      <c r="H102" s="16" t="s">
        <v>117</v>
      </c>
      <c r="I102" t="s">
        <v>11</v>
      </c>
      <c r="J102" t="s">
        <v>226</v>
      </c>
      <c r="K102" t="s">
        <v>227</v>
      </c>
      <c r="L102" t="s">
        <v>216</v>
      </c>
      <c r="M102" s="10">
        <v>90046</v>
      </c>
      <c r="N102" t="s">
        <v>228</v>
      </c>
      <c r="O102" t="s">
        <v>229</v>
      </c>
      <c r="P102" t="s">
        <v>230</v>
      </c>
      <c r="R102" s="16">
        <v>3</v>
      </c>
      <c r="S102" t="s">
        <v>16</v>
      </c>
      <c r="U102" s="16" t="s">
        <v>110</v>
      </c>
      <c r="V102" t="s">
        <v>13</v>
      </c>
      <c r="W102" t="s">
        <v>38</v>
      </c>
    </row>
    <row r="103" spans="1:23" x14ac:dyDescent="0.3">
      <c r="A103" s="16">
        <v>105</v>
      </c>
      <c r="B103" t="s">
        <v>14</v>
      </c>
      <c r="C103" s="1">
        <v>46157</v>
      </c>
      <c r="D103" t="s">
        <v>118</v>
      </c>
      <c r="E103">
        <v>3</v>
      </c>
      <c r="F103" t="s">
        <v>109</v>
      </c>
      <c r="H103" s="16" t="s">
        <v>118</v>
      </c>
      <c r="I103" t="s">
        <v>15</v>
      </c>
      <c r="J103" t="s">
        <v>231</v>
      </c>
      <c r="K103" t="s">
        <v>232</v>
      </c>
      <c r="L103" t="s">
        <v>233</v>
      </c>
      <c r="M103" s="10">
        <v>60616</v>
      </c>
      <c r="N103" t="s">
        <v>234</v>
      </c>
      <c r="O103" t="s">
        <v>235</v>
      </c>
      <c r="P103" t="s">
        <v>236</v>
      </c>
      <c r="R103" s="16">
        <v>6</v>
      </c>
      <c r="S103" t="s">
        <v>19</v>
      </c>
      <c r="U103" s="16" t="s">
        <v>124</v>
      </c>
      <c r="V103" t="s">
        <v>20</v>
      </c>
      <c r="W103" t="s">
        <v>39</v>
      </c>
    </row>
    <row r="104" spans="1:23" x14ac:dyDescent="0.3">
      <c r="A104" s="16">
        <v>106</v>
      </c>
      <c r="B104" t="s">
        <v>17</v>
      </c>
      <c r="C104" s="1">
        <v>46109</v>
      </c>
      <c r="D104" t="s">
        <v>119</v>
      </c>
      <c r="E104">
        <v>6</v>
      </c>
      <c r="F104" t="s">
        <v>124</v>
      </c>
      <c r="H104" s="16" t="s">
        <v>119</v>
      </c>
      <c r="I104" t="s">
        <v>18</v>
      </c>
      <c r="J104" t="s">
        <v>237</v>
      </c>
      <c r="K104" t="s">
        <v>238</v>
      </c>
      <c r="L104" t="s">
        <v>239</v>
      </c>
      <c r="M104" s="10">
        <v>10011</v>
      </c>
      <c r="N104" t="s">
        <v>240</v>
      </c>
      <c r="O104" t="s">
        <v>241</v>
      </c>
      <c r="P104" t="s">
        <v>242</v>
      </c>
      <c r="R104" s="16">
        <v>4</v>
      </c>
      <c r="S104" t="s">
        <v>22</v>
      </c>
      <c r="U104" s="16" t="s">
        <v>111</v>
      </c>
      <c r="V104" t="s">
        <v>23</v>
      </c>
      <c r="W104" t="s">
        <v>40</v>
      </c>
    </row>
    <row r="105" spans="1:23" x14ac:dyDescent="0.3">
      <c r="A105" s="16">
        <v>107</v>
      </c>
      <c r="B105" t="s">
        <v>21</v>
      </c>
      <c r="C105" s="1">
        <v>46130</v>
      </c>
      <c r="D105" t="s">
        <v>118</v>
      </c>
      <c r="E105">
        <v>4</v>
      </c>
      <c r="F105" t="s">
        <v>111</v>
      </c>
      <c r="H105" s="16" t="s">
        <v>120</v>
      </c>
      <c r="I105" t="s">
        <v>25</v>
      </c>
      <c r="J105" t="s">
        <v>243</v>
      </c>
      <c r="K105" t="s">
        <v>244</v>
      </c>
      <c r="L105" t="s">
        <v>245</v>
      </c>
      <c r="M105" s="10">
        <v>97214</v>
      </c>
      <c r="N105" t="s">
        <v>246</v>
      </c>
      <c r="O105" t="s">
        <v>247</v>
      </c>
      <c r="P105" t="s">
        <v>248</v>
      </c>
      <c r="R105" s="16">
        <v>5</v>
      </c>
      <c r="S105" t="s">
        <v>26</v>
      </c>
      <c r="U105" s="16" t="s">
        <v>112</v>
      </c>
      <c r="V105" t="s">
        <v>29</v>
      </c>
      <c r="W105" t="s">
        <v>41</v>
      </c>
    </row>
    <row r="106" spans="1:23" x14ac:dyDescent="0.3">
      <c r="A106" s="16">
        <v>108</v>
      </c>
      <c r="B106" t="s">
        <v>24</v>
      </c>
      <c r="C106" s="1">
        <v>46144</v>
      </c>
      <c r="D106" t="s">
        <v>120</v>
      </c>
      <c r="E106">
        <v>5</v>
      </c>
      <c r="F106" t="s">
        <v>110</v>
      </c>
      <c r="H106" s="16" t="s">
        <v>121</v>
      </c>
      <c r="I106" t="s">
        <v>28</v>
      </c>
      <c r="J106" t="s">
        <v>249</v>
      </c>
      <c r="K106" t="s">
        <v>250</v>
      </c>
      <c r="L106" t="s">
        <v>251</v>
      </c>
      <c r="M106" s="10">
        <v>48226</v>
      </c>
      <c r="N106" t="s">
        <v>252</v>
      </c>
      <c r="O106" t="s">
        <v>253</v>
      </c>
      <c r="P106" t="s">
        <v>254</v>
      </c>
      <c r="R106" s="16">
        <v>1</v>
      </c>
      <c r="S106" t="s">
        <v>35</v>
      </c>
    </row>
    <row r="107" spans="1:23" x14ac:dyDescent="0.3">
      <c r="A107" s="16">
        <v>109</v>
      </c>
      <c r="B107" t="s">
        <v>27</v>
      </c>
      <c r="C107" s="1">
        <v>46181</v>
      </c>
      <c r="D107" t="s">
        <v>121</v>
      </c>
      <c r="E107">
        <v>3</v>
      </c>
      <c r="F107" t="s">
        <v>112</v>
      </c>
      <c r="H107" s="16" t="s">
        <v>122</v>
      </c>
      <c r="I107" t="s">
        <v>32</v>
      </c>
      <c r="J107" t="s">
        <v>255</v>
      </c>
      <c r="K107" t="s">
        <v>238</v>
      </c>
      <c r="L107" t="s">
        <v>239</v>
      </c>
      <c r="M107" s="10">
        <v>10012</v>
      </c>
      <c r="N107" t="s">
        <v>256</v>
      </c>
      <c r="O107" t="s">
        <v>257</v>
      </c>
      <c r="P107" t="s">
        <v>258</v>
      </c>
    </row>
    <row r="108" spans="1:23" x14ac:dyDescent="0.3">
      <c r="A108" s="16">
        <v>110</v>
      </c>
      <c r="B108" t="s">
        <v>30</v>
      </c>
      <c r="C108" s="1">
        <v>46215</v>
      </c>
      <c r="D108" t="s">
        <v>116</v>
      </c>
      <c r="E108">
        <v>7</v>
      </c>
      <c r="F108" t="s">
        <v>109</v>
      </c>
      <c r="H108" s="16" t="s">
        <v>123</v>
      </c>
      <c r="I108" t="s">
        <v>34</v>
      </c>
      <c r="J108" t="s">
        <v>259</v>
      </c>
      <c r="K108" t="s">
        <v>260</v>
      </c>
      <c r="L108" t="s">
        <v>261</v>
      </c>
      <c r="M108" s="10">
        <v>33132</v>
      </c>
      <c r="N108" t="s">
        <v>262</v>
      </c>
      <c r="O108" t="s">
        <v>263</v>
      </c>
      <c r="P108" t="s">
        <v>264</v>
      </c>
    </row>
    <row r="109" spans="1:23" x14ac:dyDescent="0.3">
      <c r="A109" s="16">
        <v>111</v>
      </c>
      <c r="B109" t="s">
        <v>31</v>
      </c>
      <c r="C109" s="1">
        <v>46102</v>
      </c>
      <c r="D109" t="s">
        <v>122</v>
      </c>
      <c r="E109">
        <v>2</v>
      </c>
      <c r="F109" t="s">
        <v>110</v>
      </c>
    </row>
    <row r="110" spans="1:23" x14ac:dyDescent="0.3">
      <c r="A110" s="16">
        <v>112</v>
      </c>
      <c r="B110" t="s">
        <v>33</v>
      </c>
      <c r="C110" s="1">
        <v>46137</v>
      </c>
      <c r="D110" t="s">
        <v>123</v>
      </c>
      <c r="E110">
        <v>1</v>
      </c>
      <c r="F110" t="s">
        <v>124</v>
      </c>
    </row>
    <row r="113" spans="1:6" x14ac:dyDescent="0.3">
      <c r="A113" s="13" t="s">
        <v>277</v>
      </c>
      <c r="B113" s="6"/>
      <c r="C113" s="6"/>
      <c r="D113" s="6"/>
      <c r="E113" s="6"/>
      <c r="F113" s="6"/>
    </row>
    <row r="114" spans="1:6" x14ac:dyDescent="0.3">
      <c r="A114" s="11" t="s">
        <v>210</v>
      </c>
      <c r="B114" s="11" t="s">
        <v>278</v>
      </c>
      <c r="C114" s="11" t="s">
        <v>265</v>
      </c>
      <c r="D114" s="11" t="s">
        <v>279</v>
      </c>
      <c r="E114" s="11" t="s">
        <v>266</v>
      </c>
      <c r="F114" s="11" t="s">
        <v>280</v>
      </c>
    </row>
    <row r="115" spans="1:6" ht="28.8" x14ac:dyDescent="0.3">
      <c r="A115" s="12" t="s">
        <v>211</v>
      </c>
      <c r="B115" s="12" t="s">
        <v>281</v>
      </c>
      <c r="C115" s="12" t="s">
        <v>282</v>
      </c>
      <c r="D115" s="12" t="s">
        <v>282</v>
      </c>
      <c r="E115" s="12" t="s">
        <v>283</v>
      </c>
      <c r="F115" s="12" t="s">
        <v>284</v>
      </c>
    </row>
    <row r="116" spans="1:6" ht="28.8" x14ac:dyDescent="0.3">
      <c r="A116" s="12" t="s">
        <v>212</v>
      </c>
      <c r="B116" s="12" t="s">
        <v>285</v>
      </c>
      <c r="C116" s="12" t="s">
        <v>282</v>
      </c>
      <c r="D116" s="12" t="s">
        <v>282</v>
      </c>
      <c r="E116" s="12" t="s">
        <v>286</v>
      </c>
      <c r="F116" s="12" t="s">
        <v>284</v>
      </c>
    </row>
    <row r="117" spans="1:6" ht="28.8" x14ac:dyDescent="0.3">
      <c r="A117" s="12" t="s">
        <v>213</v>
      </c>
      <c r="B117" s="12" t="s">
        <v>287</v>
      </c>
      <c r="C117" s="12" t="s">
        <v>267</v>
      </c>
      <c r="D117" s="12" t="s">
        <v>268</v>
      </c>
      <c r="E117" s="12" t="s">
        <v>288</v>
      </c>
      <c r="F117" s="12" t="s">
        <v>284</v>
      </c>
    </row>
    <row r="118" spans="1:6" ht="43.2" x14ac:dyDescent="0.3">
      <c r="A118" s="12" t="s">
        <v>213</v>
      </c>
      <c r="B118" s="12" t="s">
        <v>287</v>
      </c>
      <c r="C118" s="12" t="s">
        <v>269</v>
      </c>
      <c r="D118" s="12" t="s">
        <v>270</v>
      </c>
      <c r="E118" s="12" t="s">
        <v>288</v>
      </c>
      <c r="F118" s="12" t="s">
        <v>284</v>
      </c>
    </row>
    <row r="119" spans="1:6" ht="28.8" x14ac:dyDescent="0.3">
      <c r="A119" s="12" t="s">
        <v>213</v>
      </c>
      <c r="B119" s="12" t="s">
        <v>287</v>
      </c>
      <c r="C119" s="12" t="s">
        <v>271</v>
      </c>
      <c r="D119" s="12" t="s">
        <v>272</v>
      </c>
      <c r="E119" s="12" t="s">
        <v>288</v>
      </c>
      <c r="F119" s="12" t="s">
        <v>284</v>
      </c>
    </row>
  </sheetData>
  <sortState xmlns:xlrd2="http://schemas.microsoft.com/office/spreadsheetml/2017/richdata2" ref="J19:J29">
    <sortCondition ref="J19:J29"/>
  </sortState>
  <mergeCells count="10">
    <mergeCell ref="U96:W96"/>
    <mergeCell ref="U97:W97"/>
    <mergeCell ref="A113:F113"/>
    <mergeCell ref="B92:H92"/>
    <mergeCell ref="A96:F96"/>
    <mergeCell ref="A97:F97"/>
    <mergeCell ref="H96:P96"/>
    <mergeCell ref="H97:P97"/>
    <mergeCell ref="R96:S96"/>
    <mergeCell ref="R97:S97"/>
  </mergeCells>
  <pageMargins left="0.7" right="0.7" top="0.75" bottom="0.75" header="0.3" footer="0.3"/>
  <legacyDrawing r:id="rId5"/>
  <tableParts count="4"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idasha lee</cp:lastModifiedBy>
  <dcterms:created xsi:type="dcterms:W3CDTF">2026-02-21T20:15:44Z</dcterms:created>
  <dcterms:modified xsi:type="dcterms:W3CDTF">2026-10-21T01:10:29Z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